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Out26" sheetId="2" r:id="rId6"/>
    <sheet state="visible" name="Set26" sheetId="3" r:id="rId7"/>
    <sheet state="visible" name="Ago26" sheetId="4" r:id="rId8"/>
    <sheet state="visible" name="Jul26" sheetId="5" r:id="rId9"/>
    <sheet state="visible" name="Jun26" sheetId="6" r:id="rId10"/>
    <sheet state="visible" name="May26" sheetId="7" r:id="rId11"/>
    <sheet state="visible" name="Apr26" sheetId="8" r:id="rId12"/>
    <sheet state="visible" name="Mar26" sheetId="9" r:id="rId13"/>
    <sheet state="visible" name="Fev26" sheetId="10" r:id="rId14"/>
    <sheet state="visible" name="Jan26" sheetId="11" r:id="rId15"/>
    <sheet state="visible" name="Dezembro" sheetId="12" r:id="rId16"/>
    <sheet state="visible" name="Novembro" sheetId="13" r:id="rId17"/>
    <sheet state="visible" name="Outubro" sheetId="14" r:id="rId18"/>
    <sheet state="visible" name="Setembro" sheetId="15" r:id="rId19"/>
    <sheet state="visible" name="Agosto" sheetId="16" r:id="rId20"/>
    <sheet state="visible" name="Julho" sheetId="17" r:id="rId21"/>
    <sheet state="visible" name="Junho" sheetId="18" r:id="rId22"/>
    <sheet state="visible" name="Maio" sheetId="19" r:id="rId23"/>
    <sheet state="visible" name="Abril" sheetId="20" r:id="rId24"/>
    <sheet state="visible" name="Março" sheetId="21" r:id="rId25"/>
    <sheet state="visible" name="Até Fev" sheetId="22" r:id="rId26"/>
  </sheets>
  <definedNames>
    <definedName hidden="1" localSheetId="13" name="_xlnm._FilterDatabase">Outubro!$A$2:$E$17</definedName>
    <definedName hidden="1" localSheetId="20" name="_xlnm._FilterDatabase">'Março'!$A$2:$E$21</definedName>
  </definedNames>
  <calcPr/>
</workbook>
</file>

<file path=xl/sharedStrings.xml><?xml version="1.0" encoding="utf-8"?>
<sst xmlns="http://schemas.openxmlformats.org/spreadsheetml/2006/main" count="1927" uniqueCount="311">
  <si>
    <t xml:space="preserve">   </t>
  </si>
  <si>
    <t>R$</t>
  </si>
  <si>
    <t>VENDIDO</t>
  </si>
  <si>
    <t>SOLUÇÃO</t>
  </si>
  <si>
    <t>SERVIÇO</t>
  </si>
  <si>
    <t>CATEGORIA</t>
  </si>
  <si>
    <t>US$</t>
  </si>
  <si>
    <t>DROPBOX</t>
  </si>
  <si>
    <t>PIPELINE ACCYBER PRO OUT</t>
  </si>
  <si>
    <t>PIPELINE ACCYBER PRO AGO</t>
  </si>
  <si>
    <t>PIPELINE ACCYBER PRO SET</t>
  </si>
  <si>
    <t>EMPRESA</t>
  </si>
  <si>
    <t>TORRE</t>
  </si>
  <si>
    <t>PARCEIRO</t>
  </si>
  <si>
    <t>VALOR</t>
  </si>
  <si>
    <t>RESPONSAVEL</t>
  </si>
  <si>
    <t>FEVEREIRO</t>
  </si>
  <si>
    <t>GRUPO AGUAS DO BRASIL</t>
  </si>
  <si>
    <t>HAVAN</t>
  </si>
  <si>
    <t>SOLUCAO</t>
  </si>
  <si>
    <t>SICOOB CONFEDERACAO</t>
  </si>
  <si>
    <t>RESECURITY</t>
  </si>
  <si>
    <t>DELINEA</t>
  </si>
  <si>
    <t>SERVICO</t>
  </si>
  <si>
    <t>MSS</t>
  </si>
  <si>
    <t>LUANA</t>
  </si>
  <si>
    <t>MANO</t>
  </si>
  <si>
    <t>ADRIANA</t>
  </si>
  <si>
    <t>COMPENSADOS GUARARAPES</t>
  </si>
  <si>
    <t>CHECKPOINT</t>
  </si>
  <si>
    <t>LICENCIAMENTO - ACSFLOW</t>
  </si>
  <si>
    <t>CSN</t>
  </si>
  <si>
    <t>KINGSPAN ISOESTE</t>
  </si>
  <si>
    <t>TAIS</t>
  </si>
  <si>
    <t>VOKE</t>
  </si>
  <si>
    <t>CLOUDFLARE</t>
  </si>
  <si>
    <t>ATHENA SAUDE</t>
  </si>
  <si>
    <t>SENAI CE</t>
  </si>
  <si>
    <t>ANCINE</t>
  </si>
  <si>
    <t>FIGMA</t>
  </si>
  <si>
    <t>KAMILLA</t>
  </si>
  <si>
    <t>CTC</t>
  </si>
  <si>
    <t>CONSULTORIA</t>
  </si>
  <si>
    <t>BRISTOW</t>
  </si>
  <si>
    <t>CONTA SIMPLES</t>
  </si>
  <si>
    <t>SENTINELONE</t>
  </si>
  <si>
    <t>FUNDACAO CARLOS ALBERTO VANZOLINI</t>
  </si>
  <si>
    <t xml:space="preserve">SOLUCAO </t>
  </si>
  <si>
    <t>$</t>
  </si>
  <si>
    <t>ABIN</t>
  </si>
  <si>
    <t>JFROG</t>
  </si>
  <si>
    <t>Total Forecast</t>
  </si>
  <si>
    <t>MARÇO</t>
  </si>
  <si>
    <t>CONAB</t>
  </si>
  <si>
    <t>MAGALU PAY</t>
  </si>
  <si>
    <t>JHONATHAN</t>
  </si>
  <si>
    <t>CONSORCIO MAGALU</t>
  </si>
  <si>
    <t>WPS</t>
  </si>
  <si>
    <t>Total Fechado</t>
  </si>
  <si>
    <t>GRUPO COMPEL</t>
  </si>
  <si>
    <t>UNIMED VTPR</t>
  </si>
  <si>
    <t>Total Perdido</t>
  </si>
  <si>
    <t>CONSCIENTIZACAO</t>
  </si>
  <si>
    <t>ABRIL</t>
  </si>
  <si>
    <t>Total DPD</t>
  </si>
  <si>
    <t>TCE RN</t>
  </si>
  <si>
    <t>Torre de Solução</t>
  </si>
  <si>
    <t>SEBRAE SP</t>
  </si>
  <si>
    <t>CONSULTORIA - ASSESSMENT, CSIRT, FIELD SERVICES</t>
  </si>
  <si>
    <t>LIGHT</t>
  </si>
  <si>
    <t>Torre de Serviço</t>
  </si>
  <si>
    <t>Total</t>
  </si>
  <si>
    <t>PREVI</t>
  </si>
  <si>
    <t>LWART</t>
  </si>
  <si>
    <t>PENTEST</t>
  </si>
  <si>
    <t>MAIO</t>
  </si>
  <si>
    <t>LICENCIAMENTO - ACCYBERPRO</t>
  </si>
  <si>
    <t>MUSIC</t>
  </si>
  <si>
    <t>JUNHO</t>
  </si>
  <si>
    <t>SENAC</t>
  </si>
  <si>
    <t>LIVONIUS</t>
  </si>
  <si>
    <t>DANI</t>
  </si>
  <si>
    <t>CLICKUP</t>
  </si>
  <si>
    <t>COMERCIO DE COMBUSTIVEL</t>
  </si>
  <si>
    <t>UNSACON</t>
  </si>
  <si>
    <t>JULHO</t>
  </si>
  <si>
    <t>CIPEC</t>
  </si>
  <si>
    <t>OLIVEIRA &amp; ABDUL</t>
  </si>
  <si>
    <t>AGOSTO</t>
  </si>
  <si>
    <t>SETEMBRO</t>
  </si>
  <si>
    <t>OUTUBRO</t>
  </si>
  <si>
    <t>NOVEMBRO</t>
  </si>
  <si>
    <t>DEZEMBRO</t>
  </si>
  <si>
    <t>TOTAL</t>
  </si>
  <si>
    <t>MÉDIA</t>
  </si>
  <si>
    <t>PROJETADO</t>
  </si>
  <si>
    <t>JANEIRO</t>
  </si>
  <si>
    <t>LICENCIAMENTO - CYBER &amp; FLOW</t>
  </si>
  <si>
    <t>SOC</t>
  </si>
  <si>
    <t>ASSESSMENT, CSIRT, TREINAMENTO</t>
  </si>
  <si>
    <t>PIPELINE ACCYBER PRO JUL</t>
  </si>
  <si>
    <t>BULGARELLI</t>
  </si>
  <si>
    <t>GRUPO OVD</t>
  </si>
  <si>
    <t>PIPELINE ACCYBER PRO MAY</t>
  </si>
  <si>
    <t>PIPELINE ACCYBER PRO JUN</t>
  </si>
  <si>
    <t>ACRISURE / ITSEG</t>
  </si>
  <si>
    <t>JONATHAN</t>
  </si>
  <si>
    <t>SERPRO</t>
  </si>
  <si>
    <t>CONSUMIDOR POSITIVO</t>
  </si>
  <si>
    <t>GRUPO MARISTA</t>
  </si>
  <si>
    <t>SENADO</t>
  </si>
  <si>
    <t>SENAC SP</t>
  </si>
  <si>
    <t>ASSAI</t>
  </si>
  <si>
    <t>CARLA</t>
  </si>
  <si>
    <t>OK</t>
  </si>
  <si>
    <t>FUNCEF</t>
  </si>
  <si>
    <t>EDILAINE</t>
  </si>
  <si>
    <t>CAMARA DOS DEPUTADOS</t>
  </si>
  <si>
    <t>HPD</t>
  </si>
  <si>
    <t>MESSER</t>
  </si>
  <si>
    <t>MINU.CO</t>
  </si>
  <si>
    <t>DIRECIONAL ENGENHARIA</t>
  </si>
  <si>
    <t>IMM ESPORTE</t>
  </si>
  <si>
    <t>C&amp;A</t>
  </si>
  <si>
    <t>PRATICA KLIMAQUIP</t>
  </si>
  <si>
    <t>ALYSSON</t>
  </si>
  <si>
    <t>LORENZETTI</t>
  </si>
  <si>
    <t>ENTREVIAS</t>
  </si>
  <si>
    <t>FIA</t>
  </si>
  <si>
    <t>TOPPEN</t>
  </si>
  <si>
    <t>FINISH</t>
  </si>
  <si>
    <t>VICAR</t>
  </si>
  <si>
    <t>ARTE E ATITUDE</t>
  </si>
  <si>
    <t>EQT INSTITUTO</t>
  </si>
  <si>
    <t>JURUA EDITORA</t>
  </si>
  <si>
    <t>IHARABRAS</t>
  </si>
  <si>
    <t>HOSPITAL DE CARIDADE E BENEFICIENCIA</t>
  </si>
  <si>
    <t>SERRAPARK</t>
  </si>
  <si>
    <t>PREFEITURA DE SANTOS</t>
  </si>
  <si>
    <t>TABELIONATO DE MARINALVA</t>
  </si>
  <si>
    <t>ALMAH</t>
  </si>
  <si>
    <t>FDTE</t>
  </si>
  <si>
    <t xml:space="preserve">IMM HOLDING </t>
  </si>
  <si>
    <t>MOOVEN</t>
  </si>
  <si>
    <t>OLIVEIRA VALE</t>
  </si>
  <si>
    <t>PIPELINE ACCYBER PRO APR</t>
  </si>
  <si>
    <t>UNIMED SANTA CATARINA</t>
  </si>
  <si>
    <t>TERAMIND</t>
  </si>
  <si>
    <t>AZUL</t>
  </si>
  <si>
    <t>CPQD</t>
  </si>
  <si>
    <t>MYRALIS</t>
  </si>
  <si>
    <t>BUGPAY</t>
  </si>
  <si>
    <t>AMPLUS</t>
  </si>
  <si>
    <t xml:space="preserve">CGG </t>
  </si>
  <si>
    <t>KEKO ASSESSORIOS</t>
  </si>
  <si>
    <t>ARTHEMA</t>
  </si>
  <si>
    <t>PIPELINE ACCYBER PRO MAR</t>
  </si>
  <si>
    <t>B2W | AMERICANAS</t>
  </si>
  <si>
    <t>DETRAN RO</t>
  </si>
  <si>
    <t>SETTER</t>
  </si>
  <si>
    <t>MUSIC2</t>
  </si>
  <si>
    <t>RORAIMA ENERGIA</t>
  </si>
  <si>
    <t>SOLARWINDS</t>
  </si>
  <si>
    <t>PIPELINE ACCYBER PRO FEV</t>
  </si>
  <si>
    <t>PIPELINE ACCYBER PRO JAN</t>
  </si>
  <si>
    <t>BASA</t>
  </si>
  <si>
    <t>JUSBRASIL</t>
  </si>
  <si>
    <t>CLINICA VIA HUMANA MENSAL</t>
  </si>
  <si>
    <t>NSTECH</t>
  </si>
  <si>
    <t>HSAV</t>
  </si>
  <si>
    <t>ALDEIA LIGHT</t>
  </si>
  <si>
    <t>ANDBANK</t>
  </si>
  <si>
    <t>COONTROL</t>
  </si>
  <si>
    <t>EMBRACON</t>
  </si>
  <si>
    <t>VICAR renovação em maio</t>
  </si>
  <si>
    <t>COB</t>
  </si>
  <si>
    <t>DUFFEL</t>
  </si>
  <si>
    <t>CIMY</t>
  </si>
  <si>
    <t>ASSIST</t>
  </si>
  <si>
    <t>DUTZZO</t>
  </si>
  <si>
    <t>COOPERAGUDO</t>
  </si>
  <si>
    <t>PIPELINE ACCYBER PRO DEZEMBRO</t>
  </si>
  <si>
    <t>XP INVESTIMENTOS</t>
  </si>
  <si>
    <t>SMARTFIT</t>
  </si>
  <si>
    <t>TERRAL</t>
  </si>
  <si>
    <t>TJMT</t>
  </si>
  <si>
    <t>SICOOB UNICIDADES</t>
  </si>
  <si>
    <t>AGROPECUARIA TOCANDO EM FRENTE</t>
  </si>
  <si>
    <t>CNC</t>
  </si>
  <si>
    <t>BANCO BASA</t>
  </si>
  <si>
    <t>XEROX</t>
  </si>
  <si>
    <t>TSE</t>
  </si>
  <si>
    <t>PIPELINE ACCYBER PRO NOVEMBRO</t>
  </si>
  <si>
    <t>U$</t>
  </si>
  <si>
    <t>MAGALU</t>
  </si>
  <si>
    <t>RENAULT</t>
  </si>
  <si>
    <t>VENTURUS</t>
  </si>
  <si>
    <t>GG EDUCACIONAL</t>
  </si>
  <si>
    <t>GRUPO SEB</t>
  </si>
  <si>
    <t>PIPELINE ACCYBER PRO OUTUBRO</t>
  </si>
  <si>
    <t>RTM</t>
  </si>
  <si>
    <t>SICOOB CCS</t>
  </si>
  <si>
    <t>PALOMA</t>
  </si>
  <si>
    <t>BTP</t>
  </si>
  <si>
    <t>MSP</t>
  </si>
  <si>
    <t>IASES</t>
  </si>
  <si>
    <t>GAZETA DO POVO</t>
  </si>
  <si>
    <t>COMPEL</t>
  </si>
  <si>
    <t>MOLLITAM</t>
  </si>
  <si>
    <t>VIVER DE ECOMMERCE</t>
  </si>
  <si>
    <t>ECAD</t>
  </si>
  <si>
    <t>UNICAMP</t>
  </si>
  <si>
    <t>DRILLGEO</t>
  </si>
  <si>
    <t>CIPEC INDUSTRIAL DE AUTOPEÇAS SA</t>
  </si>
  <si>
    <t>IMM HOLDING</t>
  </si>
  <si>
    <t>OESTE DESIGN EIRELO</t>
  </si>
  <si>
    <t>ACCYBERPRO</t>
  </si>
  <si>
    <t>POUSADA CAVALHADAS</t>
  </si>
  <si>
    <t>PIPELINE ACCYBER PRO SETEMBRO</t>
  </si>
  <si>
    <t>GRB SERVICES</t>
  </si>
  <si>
    <t>CHECK POINT</t>
  </si>
  <si>
    <t>STATUS</t>
  </si>
  <si>
    <t>APRIL</t>
  </si>
  <si>
    <t>MAY</t>
  </si>
  <si>
    <t>JUNE</t>
  </si>
  <si>
    <t>JULY</t>
  </si>
  <si>
    <t>AUG</t>
  </si>
  <si>
    <t>SEP</t>
  </si>
  <si>
    <t>RENNER</t>
  </si>
  <si>
    <t>DANIEL</t>
  </si>
  <si>
    <t>MAGALU (HARDENING)</t>
  </si>
  <si>
    <t>COELHO DA FONSECA</t>
  </si>
  <si>
    <t>MAGALU CONSORCIO</t>
  </si>
  <si>
    <t>GRUPO ÁGUAS DO BRASIL</t>
  </si>
  <si>
    <t xml:space="preserve">SERVICO </t>
  </si>
  <si>
    <t>LEVVA</t>
  </si>
  <si>
    <t>MELITTA</t>
  </si>
  <si>
    <t>SAE - SUPERINTENDENCIA DE AGUA</t>
  </si>
  <si>
    <t>UBISOFT</t>
  </si>
  <si>
    <t>HC USP</t>
  </si>
  <si>
    <t>IMPLACIL</t>
  </si>
  <si>
    <t>PIPELINE ACCYBER PRO AGOSTO</t>
  </si>
  <si>
    <t>PIPELINE ACCYBER PRO JULHO</t>
  </si>
  <si>
    <t>LUIZA LABS</t>
  </si>
  <si>
    <t>BULGARELLI (GRB)</t>
  </si>
  <si>
    <t>SOLO PROPAGANDA</t>
  </si>
  <si>
    <t>ALUBAR</t>
  </si>
  <si>
    <t>SOLO Propaganda</t>
  </si>
  <si>
    <t>DIEGO</t>
  </si>
  <si>
    <t>Dylan</t>
  </si>
  <si>
    <t>DELLYS</t>
  </si>
  <si>
    <t>ASSESSMENT</t>
  </si>
  <si>
    <t>IMPLANTACAO</t>
  </si>
  <si>
    <t>EUROFARMA</t>
  </si>
  <si>
    <t>SESC SENAC</t>
  </si>
  <si>
    <t>PIPELINE ACCYBER PRO JUNHO</t>
  </si>
  <si>
    <t>BANCO BTG</t>
  </si>
  <si>
    <t>LED Sports</t>
  </si>
  <si>
    <t>2 TABELIONATO DE MARIALVA</t>
  </si>
  <si>
    <t>HCB - HOSPITAL DE CARIDADE E BENEFICIENCIA</t>
  </si>
  <si>
    <t>SICOOB CENTRAL</t>
  </si>
  <si>
    <t>COMERCIO DE COMBUSTIVEL/REDE ESTORIL</t>
  </si>
  <si>
    <t>EMBRATUR</t>
  </si>
  <si>
    <t>IDWALL</t>
  </si>
  <si>
    <t>BRF</t>
  </si>
  <si>
    <t>IMM ESPORTES</t>
  </si>
  <si>
    <t>SUPERAFARMA</t>
  </si>
  <si>
    <t>QUATTROR</t>
  </si>
  <si>
    <t>PIPELINE ACCYBER PRO MAIO</t>
  </si>
  <si>
    <t>DESKTOP NET</t>
  </si>
  <si>
    <t>ESET</t>
  </si>
  <si>
    <t>LUCAS</t>
  </si>
  <si>
    <t>FASE</t>
  </si>
  <si>
    <t>QUERO QUERO</t>
  </si>
  <si>
    <t>TCU</t>
  </si>
  <si>
    <t>EDI</t>
  </si>
  <si>
    <t>PIPELINE ACCYBER PRO MARÇO</t>
  </si>
  <si>
    <t>PIPELINE ACCYBER PRO ABRIL</t>
  </si>
  <si>
    <t>ITSEG</t>
  </si>
  <si>
    <t>SICOOB UNIQUE</t>
  </si>
  <si>
    <t>CSU</t>
  </si>
  <si>
    <t>QUANT.</t>
  </si>
  <si>
    <t>Intelbras S/A</t>
  </si>
  <si>
    <t>DROPBOX | INGRAM</t>
  </si>
  <si>
    <t>CYMI</t>
  </si>
  <si>
    <t>TREINAMENTO</t>
  </si>
  <si>
    <t>AGREX</t>
  </si>
  <si>
    <t>CGG TRADING S.A</t>
  </si>
  <si>
    <t>JULLS</t>
  </si>
  <si>
    <t>SEFAZ MG</t>
  </si>
  <si>
    <t>DROPBOX | BOXWARE</t>
  </si>
  <si>
    <t>OLIVEIRA VALE, ABDUL AHAD ADVOGADOS</t>
  </si>
  <si>
    <t>SWI | WEST TELCO</t>
  </si>
  <si>
    <t>ULTRA</t>
  </si>
  <si>
    <t>CONSTRUTORA MBIGUCCI</t>
  </si>
  <si>
    <t>Keko Acessorios SA</t>
  </si>
  <si>
    <t>RADIO TRANS MUNDIAL</t>
  </si>
  <si>
    <t>UNIMED ARARAQUARA</t>
  </si>
  <si>
    <t>PIPELINE ACCYBER PRO ATÉ FEV.</t>
  </si>
  <si>
    <t>CLINICA VIA HUMANA</t>
  </si>
  <si>
    <t>Serrapark</t>
  </si>
  <si>
    <t>Arthema Segurança</t>
  </si>
  <si>
    <t>JF INFORMATICA</t>
  </si>
  <si>
    <t>POUSADA DAS CAVALHADAS</t>
  </si>
  <si>
    <t>VH SAUDE</t>
  </si>
  <si>
    <t>HOSPITAL PORTO DIAS</t>
  </si>
  <si>
    <t>ANDERSON</t>
  </si>
  <si>
    <t>HSAV / HOSPMED</t>
  </si>
  <si>
    <t>Biblioteca UMC PR</t>
  </si>
  <si>
    <t>MALWEE</t>
  </si>
  <si>
    <t>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</si>
</sst>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[$R$ -416]#,##0.00"/>
    <numFmt numFmtId="166" formatCode="dd/mm"/>
    <numFmt numFmtId="167" formatCode="[$R$]#,##0.00"/>
    <numFmt numFmtId="168" formatCode="d/m"/>
    <numFmt numFmtId="169" formatCode="&quot;$&quot;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rgb="FF434343"/>
      <name val="Roboto"/>
    </font>
    <font>
      <u/>
      <color rgb="FF0000FF"/>
    </font>
    <font>
      <sz val="11.0"/>
      <color rgb="FF000000"/>
      <name val="Lato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5" fillId="2" fontId="4" numFmtId="0" xfId="0" applyAlignment="1" applyBorder="1" applyFill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8" fillId="2" fontId="4" numFmtId="0" xfId="0" applyAlignment="1" applyBorder="1" applyFill="1" applyFont="1">
      <alignment horizontal="center" readingOrder="0" vertical="center"/>
    </xf>
    <xf borderId="5" fillId="2" fontId="4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6" fillId="2" fontId="4" numFmtId="0" xfId="0" applyAlignment="1" applyBorder="1" applyFill="1" applyFont="1">
      <alignment horizontal="center" readingOrder="0" vertical="center"/>
    </xf>
    <xf borderId="0" fillId="0" fontId="1" numFmtId="164" xfId="0" applyFont="1" applyNumberFormat="1"/>
    <xf borderId="9" fillId="2" fontId="4" numFmtId="0" xfId="0" applyAlignment="1" applyBorder="1" applyFill="1" applyFont="1">
      <alignment horizontal="center" readingOrder="0" vertical="center"/>
    </xf>
    <xf borderId="7" fillId="2" fontId="4" numFmtId="0" xfId="0" applyAlignment="1" applyBorder="1" applyFill="1" applyFont="1">
      <alignment horizontal="center" readingOrder="0" vertical="center"/>
    </xf>
    <xf borderId="8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165" xfId="0" applyFont="1" applyNumberFormat="1"/>
    <xf borderId="0" fillId="3" fontId="1" numFmtId="164" xfId="0" applyAlignment="1" applyFill="1" applyFont="1" applyNumberFormat="1">
      <alignment readingOrder="0"/>
    </xf>
    <xf borderId="0" fillId="4" fontId="1" numFmtId="164" xfId="0" applyAlignment="1" applyFill="1" applyFont="1" applyNumberFormat="1">
      <alignment readingOrder="0"/>
    </xf>
    <xf borderId="9" fillId="0" fontId="1" numFmtId="0" xfId="0" applyAlignment="1" applyBorder="1" applyFont="1">
      <alignment readingOrder="0"/>
    </xf>
    <xf borderId="0" fillId="4" fontId="1" numFmtId="0" xfId="0" applyAlignment="1" applyFill="1" applyFont="1">
      <alignment readingOrder="0" vertical="center"/>
    </xf>
    <xf borderId="0" fillId="4" fontId="1" numFmtId="166" xfId="0" applyAlignment="1" applyFill="1" applyFont="1" applyNumberFormat="1">
      <alignment readingOrder="0" vertical="center"/>
    </xf>
    <xf borderId="0" fillId="4" fontId="1" numFmtId="0" xfId="0" applyAlignment="1" applyFill="1" applyFont="1">
      <alignment readingOrder="0" vertical="center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0" fillId="5" fontId="1" numFmtId="164" xfId="0" applyAlignment="1" applyFill="1" applyFont="1" applyNumberFormat="1">
      <alignment readingOrder="0" vertical="center"/>
    </xf>
    <xf borderId="7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 vertical="center"/>
    </xf>
    <xf borderId="9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4" fillId="0" fontId="1" numFmtId="0" xfId="0" applyAlignment="1" applyBorder="1" applyFont="1">
      <alignment readingOrder="0"/>
    </xf>
    <xf borderId="0" fillId="3" fontId="1" numFmtId="164" xfId="0" applyAlignment="1" applyFill="1" applyFont="1" applyNumberFormat="1">
      <alignment readingOrder="0" vertical="center"/>
    </xf>
    <xf borderId="8" fillId="0" fontId="1" numFmtId="0" xfId="0" applyAlignment="1" applyBorder="1" applyFont="1">
      <alignment readingOrder="0"/>
    </xf>
    <xf borderId="0" fillId="6" fontId="1" numFmtId="164" xfId="0" applyAlignment="1" applyFill="1" applyFont="1" applyNumberFormat="1">
      <alignment readingOrder="0"/>
    </xf>
    <xf borderId="0" fillId="4" fontId="1" numFmtId="164" xfId="0" applyAlignment="1" applyFill="1" applyFont="1" applyNumberFormat="1">
      <alignment readingOrder="0"/>
    </xf>
    <xf borderId="0" fillId="0" fontId="1" numFmtId="166" xfId="0" applyAlignment="1" applyFont="1" applyNumberFormat="1">
      <alignment readingOrder="0" vertical="center"/>
    </xf>
    <xf borderId="0" fillId="7" fontId="1" numFmtId="164" xfId="0" applyAlignment="1" applyFill="1" applyFont="1" applyNumberFormat="1">
      <alignment readingOrder="0"/>
    </xf>
    <xf borderId="0" fillId="4" fontId="1" numFmtId="0" xfId="0" applyAlignment="1" applyFill="1" applyFont="1">
      <alignment readingOrder="0" vertical="center"/>
    </xf>
    <xf borderId="0" fillId="5" fontId="1" numFmtId="16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4" fontId="1" numFmtId="164" xfId="0" applyAlignment="1" applyFill="1" applyFont="1" applyNumberFormat="1">
      <alignment readingOrder="0" vertical="center"/>
    </xf>
    <xf borderId="4" fillId="0" fontId="1" numFmtId="164" xfId="0" applyAlignment="1" applyBorder="1" applyFont="1" applyNumberFormat="1">
      <alignment horizontal="center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4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8" fillId="0" fontId="1" numFmtId="0" xfId="0" applyBorder="1" applyFont="1"/>
    <xf borderId="9" fillId="0" fontId="1" numFmtId="0" xfId="0" applyBorder="1" applyFont="1"/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horizontal="center" readingOrder="0"/>
    </xf>
    <xf borderId="8" fillId="8" fontId="5" numFmtId="0" xfId="0" applyAlignment="1" applyBorder="1" applyFill="1" applyFont="1">
      <alignment readingOrder="0" shrinkToFit="0" wrapText="0"/>
    </xf>
    <xf borderId="0" fillId="6" fontId="1" numFmtId="164" xfId="0" applyAlignment="1" applyFill="1" applyFont="1" applyNumberFormat="1">
      <alignment readingOrder="0"/>
    </xf>
    <xf borderId="10" fillId="4" fontId="1" numFmtId="0" xfId="0" applyAlignment="1" applyBorder="1" applyFill="1" applyFont="1">
      <alignment readingOrder="0" vertical="center"/>
    </xf>
    <xf borderId="9" fillId="0" fontId="1" numFmtId="0" xfId="0" applyAlignment="1" applyBorder="1" applyFont="1">
      <alignment readingOrder="0"/>
    </xf>
    <xf borderId="11" fillId="4" fontId="1" numFmtId="0" xfId="0" applyAlignment="1" applyBorder="1" applyFill="1" applyFont="1">
      <alignment readingOrder="0" vertical="center"/>
    </xf>
    <xf borderId="0" fillId="6" fontId="1" numFmtId="164" xfId="0" applyAlignment="1" applyFill="1" applyFont="1" applyNumberFormat="1">
      <alignment readingOrder="0" vertical="center"/>
    </xf>
    <xf borderId="0" fillId="0" fontId="1" numFmtId="0" xfId="0" applyAlignment="1" applyFont="1">
      <alignment horizontal="right" readingOrder="0"/>
    </xf>
    <xf borderId="0" fillId="0" fontId="1" numFmtId="9" xfId="0" applyFont="1" applyNumberFormat="1"/>
    <xf borderId="11" fillId="4" fontId="5" numFmtId="164" xfId="0" applyAlignment="1" applyBorder="1" applyFill="1" applyFont="1" applyNumberFormat="1">
      <alignment horizontal="right" readingOrder="0" shrinkToFit="0" vertical="center" wrapText="0"/>
    </xf>
    <xf borderId="12" fillId="4" fontId="1" numFmtId="0" xfId="0" applyAlignment="1" applyBorder="1" applyFill="1" applyFont="1">
      <alignment readingOrder="0" vertical="center"/>
    </xf>
    <xf borderId="0" fillId="7" fontId="1" numFmtId="164" xfId="0" applyAlignment="1" applyFill="1" applyFont="1" applyNumberFormat="1">
      <alignment readingOrder="0"/>
    </xf>
    <xf borderId="9" fillId="0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0" fillId="3" fontId="1" numFmtId="164" xfId="0" applyAlignment="1" applyFill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5" fontId="1" numFmtId="16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9" fillId="0" fontId="1" numFmtId="164" xfId="0" applyAlignment="1" applyBorder="1" applyFont="1" applyNumberFormat="1">
      <alignment readingOrder="0"/>
    </xf>
    <xf borderId="8" fillId="4" fontId="1" numFmtId="0" xfId="0" applyAlignment="1" applyBorder="1" applyFill="1" applyFont="1">
      <alignment readingOrder="0"/>
    </xf>
    <xf borderId="0" fillId="0" fontId="1" numFmtId="164" xfId="0" applyFont="1" applyNumberFormat="1"/>
    <xf borderId="9" fillId="0" fontId="1" numFmtId="164" xfId="0" applyBorder="1" applyFont="1" applyNumberFormat="1"/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Font="1" applyNumberFormat="1"/>
    <xf borderId="8" fillId="0" fontId="2" numFmtId="0" xfId="0" applyAlignment="1" applyBorder="1" applyFont="1">
      <alignment readingOrder="0"/>
    </xf>
    <xf borderId="0" fillId="0" fontId="2" numFmtId="164" xfId="0" applyFont="1" applyNumberFormat="1"/>
    <xf borderId="9" fillId="0" fontId="2" numFmtId="164" xfId="0" applyBorder="1" applyFont="1" applyNumberFormat="1"/>
    <xf borderId="10" fillId="0" fontId="2" numFmtId="0" xfId="0" applyAlignment="1" applyBorder="1" applyFont="1">
      <alignment readingOrder="0"/>
    </xf>
    <xf borderId="11" fillId="0" fontId="2" numFmtId="164" xfId="0" applyBorder="1" applyFont="1" applyNumberFormat="1"/>
    <xf borderId="12" fillId="0" fontId="2" numFmtId="164" xfId="0" applyBorder="1" applyFont="1" applyNumberFormat="1"/>
    <xf borderId="4" fillId="0" fontId="1" numFmtId="164" xfId="0" applyAlignment="1" applyBorder="1" applyFont="1" applyNumberFormat="1">
      <alignment horizontal="center" readingOrder="0"/>
    </xf>
    <xf borderId="0" fillId="0" fontId="2" numFmtId="164" xfId="0" applyFont="1" applyNumberFormat="1"/>
    <xf borderId="9" fillId="0" fontId="2" numFmtId="164" xfId="0" applyBorder="1" applyFont="1" applyNumberFormat="1"/>
    <xf borderId="11" fillId="0" fontId="2" numFmtId="164" xfId="0" applyBorder="1" applyFont="1" applyNumberFormat="1"/>
    <xf borderId="12" fillId="0" fontId="2" numFmtId="164" xfId="0" applyBorder="1" applyFont="1" applyNumberFormat="1"/>
    <xf borderId="9" fillId="4" fontId="1" numFmtId="0" xfId="0" applyAlignment="1" applyBorder="1" applyFill="1" applyFont="1">
      <alignment readingOrder="0" vertical="center"/>
    </xf>
    <xf borderId="8" fillId="0" fontId="6" numFmtId="0" xfId="0" applyAlignment="1" applyBorder="1" applyFont="1">
      <alignment readingOrder="0"/>
    </xf>
    <xf borderId="0" fillId="6" fontId="1" numFmtId="164" xfId="0" applyFill="1" applyFont="1" applyNumberFormat="1"/>
    <xf borderId="8" fillId="8" fontId="5" numFmtId="0" xfId="0" applyAlignment="1" applyBorder="1" applyFill="1" applyFont="1">
      <alignment shrinkToFit="0" wrapText="0"/>
    </xf>
    <xf borderId="8" fillId="4" fontId="1" numFmtId="0" xfId="0" applyAlignment="1" applyBorder="1" applyFill="1" applyFont="1">
      <alignment readingOrder="0" vertical="center"/>
    </xf>
    <xf borderId="0" fillId="4" fontId="5" numFmtId="164" xfId="0" applyAlignment="1" applyFill="1" applyFont="1" applyNumberFormat="1">
      <alignment horizontal="right" readingOrder="0" shrinkToFit="0" vertical="center" wrapText="0"/>
    </xf>
    <xf borderId="9" fillId="4" fontId="1" numFmtId="0" xfId="0" applyAlignment="1" applyBorder="1" applyFill="1" applyFont="1">
      <alignment readingOrder="0" vertical="center"/>
    </xf>
    <xf borderId="8" fillId="0" fontId="1" numFmtId="0" xfId="0" applyAlignment="1" applyBorder="1" applyFont="1">
      <alignment readingOrder="0"/>
    </xf>
    <xf borderId="0" fillId="3" fontId="1" numFmtId="164" xfId="0" applyFill="1" applyFont="1" applyNumberFormat="1"/>
    <xf borderId="0" fillId="5" fontId="1" numFmtId="164" xfId="0" applyFill="1" applyFont="1" applyNumberFormat="1"/>
    <xf borderId="11" fillId="4" fontId="5" numFmtId="164" xfId="0" applyAlignment="1" applyBorder="1" applyFill="1" applyFont="1" applyNumberFormat="1">
      <alignment horizontal="right" readingOrder="0" shrinkToFit="0" vertical="center" wrapText="0"/>
    </xf>
    <xf borderId="8" fillId="4" fontId="1" numFmtId="0" xfId="0" applyAlignment="1" applyBorder="1" applyFill="1" applyFont="1">
      <alignment readingOrder="0" vertical="center"/>
    </xf>
    <xf borderId="0" fillId="6" fontId="1" numFmtId="164" xfId="0" applyAlignment="1" applyFill="1" applyFont="1" applyNumberFormat="1">
      <alignment readingOrder="0" vertical="center"/>
    </xf>
    <xf borderId="0" fillId="3" fontId="1" numFmtId="164" xfId="0" applyAlignment="1" applyFill="1" applyFont="1" applyNumberFormat="1">
      <alignment readingOrder="0" vertical="center"/>
    </xf>
    <xf borderId="0" fillId="3" fontId="5" numFmtId="164" xfId="0" applyAlignment="1" applyFill="1" applyFont="1" applyNumberFormat="1">
      <alignment horizontal="right" readingOrder="0" shrinkToFit="0" vertical="center" wrapText="0"/>
    </xf>
    <xf borderId="0" fillId="5" fontId="5" numFmtId="164" xfId="0" applyAlignment="1" applyFill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6" fontId="5" numFmtId="164" xfId="0" applyAlignment="1" applyFill="1" applyFont="1" applyNumberFormat="1">
      <alignment horizontal="right" readingOrder="0" shrinkToFit="0" vertical="center" wrapText="0"/>
    </xf>
    <xf borderId="0" fillId="4" fontId="7" numFmtId="0" xfId="0" applyAlignment="1" applyFill="1" applyFont="1">
      <alignment horizontal="left" readingOrder="0"/>
    </xf>
    <xf borderId="0" fillId="0" fontId="2" numFmtId="164" xfId="0" applyAlignment="1" applyFont="1" applyNumberFormat="1">
      <alignment readingOrder="0"/>
    </xf>
    <xf borderId="8" fillId="2" fontId="4" numFmtId="0" xfId="0" applyAlignment="1" applyBorder="1" applyFill="1" applyFont="1">
      <alignment horizontal="center" readingOrder="0"/>
    </xf>
    <xf borderId="0" fillId="4" fontId="5" numFmtId="165" xfId="0" applyAlignment="1" applyFill="1" applyFont="1" applyNumberFormat="1">
      <alignment horizontal="right" readingOrder="0" shrinkToFit="0" wrapText="0"/>
    </xf>
    <xf borderId="0" fillId="2" fontId="4" numFmtId="0" xfId="0" applyAlignment="1" applyFill="1" applyFont="1">
      <alignment horizontal="center" readingOrder="0"/>
    </xf>
    <xf borderId="9" fillId="2" fontId="4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8" fillId="8" fontId="1" numFmtId="0" xfId="0" applyAlignment="1" applyBorder="1" applyFill="1" applyFont="1">
      <alignment readingOrder="0"/>
    </xf>
    <xf borderId="0" fillId="8" fontId="1" numFmtId="0" xfId="0" applyAlignment="1" applyFill="1" applyFont="1">
      <alignment readingOrder="0"/>
    </xf>
    <xf borderId="9" fillId="8" fontId="1" numFmtId="0" xfId="0" applyAlignment="1" applyBorder="1" applyFill="1" applyFont="1">
      <alignment readingOrder="0"/>
    </xf>
    <xf borderId="0" fillId="8" fontId="1" numFmtId="0" xfId="0" applyAlignment="1" applyFill="1" applyFont="1">
      <alignment readingOrder="0"/>
    </xf>
    <xf borderId="0" fillId="8" fontId="1" numFmtId="168" xfId="0" applyAlignment="1" applyFill="1" applyFont="1" applyNumberFormat="1">
      <alignment readingOrder="0"/>
    </xf>
    <xf borderId="0" fillId="8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right" readingOrder="0"/>
    </xf>
    <xf borderId="0" fillId="4" fontId="2" numFmtId="164" xfId="0" applyAlignment="1" applyFill="1" applyFont="1" applyNumberFormat="1">
      <alignment readingOrder="0"/>
    </xf>
    <xf borderId="0" fillId="4" fontId="2" numFmtId="9" xfId="0" applyAlignment="1" applyFill="1" applyFont="1" applyNumberFormat="1">
      <alignment horizontal="center" readingOrder="0"/>
    </xf>
    <xf borderId="0" fillId="8" fontId="1" numFmtId="0" xfId="0" applyAlignment="1" applyFill="1" applyFont="1">
      <alignment horizontal="right" readingOrder="0"/>
    </xf>
    <xf borderId="0" fillId="8" fontId="1" numFmtId="164" xfId="0" applyFill="1" applyFont="1" applyNumberFormat="1"/>
    <xf borderId="0" fillId="8" fontId="1" numFmtId="9" xfId="0" applyFill="1" applyFont="1" applyNumberFormat="1"/>
    <xf borderId="0" fillId="4" fontId="1" numFmtId="0" xfId="0" applyAlignment="1" applyFill="1" applyFont="1">
      <alignment horizontal="right" readingOrder="0"/>
    </xf>
    <xf borderId="0" fillId="4" fontId="1" numFmtId="9" xfId="0" applyFill="1" applyFont="1" applyNumberFormat="1"/>
    <xf borderId="0" fillId="8" fontId="2" numFmtId="164" xfId="0" applyAlignment="1" applyFill="1" applyFont="1" applyNumberFormat="1">
      <alignment readingOrder="0"/>
    </xf>
    <xf borderId="0" fillId="4" fontId="2" numFmtId="164" xfId="0" applyAlignment="1" applyFill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1" numFmtId="0" xfId="0" applyFill="1" applyFont="1"/>
    <xf borderId="0" fillId="6" fontId="1" numFmtId="169" xfId="0" applyAlignment="1" applyFill="1" applyFont="1" applyNumberFormat="1">
      <alignment readingOrder="0"/>
    </xf>
    <xf borderId="10" fillId="4" fontId="5" numFmtId="0" xfId="0" applyAlignment="1" applyBorder="1" applyFill="1" applyFont="1">
      <alignment horizontal="center" readingOrder="0" shrinkToFit="0" wrapText="0"/>
    </xf>
    <xf borderId="11" fillId="4" fontId="3" numFmtId="0" xfId="0" applyBorder="1" applyFill="1" applyFont="1"/>
    <xf borderId="11" fillId="4" fontId="1" numFmtId="164" xfId="0" applyAlignment="1" applyBorder="1" applyFill="1" applyFont="1" applyNumberFormat="1">
      <alignment readingOrder="0"/>
    </xf>
    <xf borderId="12" fillId="4" fontId="1" numFmtId="0" xfId="0" applyAlignment="1" applyBorder="1" applyFill="1" applyFont="1">
      <alignment readingOrder="0"/>
    </xf>
    <xf borderId="3" fillId="4" fontId="2" numFmtId="0" xfId="0" applyAlignment="1" applyBorder="1" applyFill="1" applyFont="1">
      <alignment horizontal="center" readingOrder="0"/>
    </xf>
    <xf borderId="4" fillId="4" fontId="2" numFmtId="0" xfId="0" applyAlignment="1" applyBorder="1" applyFill="1" applyFont="1">
      <alignment horizontal="center" readingOrder="0"/>
    </xf>
    <xf borderId="4" fillId="8" fontId="1" numFmtId="0" xfId="0" applyAlignment="1" applyBorder="1" applyFill="1" applyFont="1">
      <alignment readingOrder="0"/>
    </xf>
    <xf borderId="4" fillId="8" fontId="1" numFmtId="164" xfId="0" applyBorder="1" applyFill="1" applyFont="1" applyNumberFormat="1"/>
    <xf borderId="0" fillId="4" fontId="1" numFmtId="164" xfId="0" applyFill="1" applyFont="1" applyNumberFormat="1"/>
    <xf borderId="0" fillId="8" fontId="1" numFmtId="164" xfId="0" applyFill="1" applyFont="1" applyNumberFormat="1"/>
    <xf borderId="0" fillId="4" fontId="2" numFmtId="0" xfId="0" applyAlignment="1" applyFill="1" applyFont="1">
      <alignment readingOrder="0"/>
    </xf>
    <xf borderId="0" fillId="4" fontId="1" numFmtId="0" xfId="0" applyFill="1" applyFont="1"/>
    <xf borderId="3" fillId="8" fontId="2" numFmtId="0" xfId="0" applyAlignment="1" applyBorder="1" applyFill="1" applyFont="1">
      <alignment horizontal="center" readingOrder="0"/>
    </xf>
    <xf borderId="4" fillId="8" fontId="2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readingOrder="0"/>
    </xf>
    <xf borderId="4" fillId="4" fontId="1" numFmtId="164" xfId="0" applyAlignment="1" applyBorder="1" applyFill="1" applyFont="1" applyNumberFormat="1">
      <alignment readingOrder="0"/>
    </xf>
    <xf borderId="4" fillId="4" fontId="1" numFmtId="164" xfId="0" applyBorder="1" applyFill="1" applyFont="1" applyNumberFormat="1"/>
    <xf borderId="4" fillId="8" fontId="1" numFmtId="164" xfId="0" applyAlignment="1" applyBorder="1" applyFill="1" applyFont="1" applyNumberFormat="1">
      <alignment readingOrder="0"/>
    </xf>
    <xf borderId="0" fillId="4" fontId="8" numFmtId="0" xfId="0" applyAlignment="1" applyFill="1" applyFont="1">
      <alignment vertical="bottom"/>
    </xf>
    <xf borderId="9" fillId="4" fontId="8" numFmtId="0" xfId="0" applyAlignment="1" applyBorder="1" applyFill="1" applyFont="1">
      <alignment vertical="bottom"/>
    </xf>
    <xf borderId="9" fillId="8" fontId="1" numFmtId="0" xfId="0" applyBorder="1" applyFill="1" applyFont="1"/>
    <xf borderId="9" fillId="4" fontId="1" numFmtId="0" xfId="0" applyBorder="1" applyFill="1" applyFont="1"/>
    <xf borderId="10" fillId="8" fontId="5" numFmtId="0" xfId="0" applyAlignment="1" applyBorder="1" applyFill="1" applyFont="1">
      <alignment horizontal="center" readingOrder="0" shrinkToFit="0" wrapText="0"/>
    </xf>
    <xf borderId="11" fillId="8" fontId="3" numFmtId="0" xfId="0" applyBorder="1" applyFill="1" applyFont="1"/>
    <xf borderId="12" fillId="8" fontId="1" numFmtId="0" xfId="0" applyAlignment="1" applyBorder="1" applyFill="1" applyFont="1">
      <alignment readingOrder="0"/>
    </xf>
    <xf borderId="4" fillId="8" fontId="1" numFmtId="9" xfId="0" applyAlignment="1" applyBorder="1" applyFill="1" applyFont="1" applyNumberFormat="1">
      <alignment horizontal="center" readingOrder="0"/>
    </xf>
    <xf borderId="4" fillId="8" fontId="1" numFmtId="0" xfId="0" applyAlignment="1" applyBorder="1" applyFill="1" applyFont="1">
      <alignment horizontal="center" readingOrder="0"/>
    </xf>
    <xf borderId="4" fillId="4" fontId="1" numFmtId="9" xfId="0" applyAlignment="1" applyBorder="1" applyFill="1" applyFont="1" applyNumberFormat="1">
      <alignment horizontal="center" readingOrder="0"/>
    </xf>
    <xf borderId="4" fillId="4" fontId="1" numFmtId="0" xfId="0" applyAlignment="1" applyBorder="1" applyFill="1" applyFont="1">
      <alignment horizontal="center" readingOrder="0"/>
    </xf>
    <xf borderId="5" fillId="4" fontId="2" numFmtId="0" xfId="0" applyAlignment="1" applyBorder="1" applyFill="1" applyFont="1">
      <alignment horizontal="right" readingOrder="0"/>
    </xf>
    <xf borderId="6" fillId="4" fontId="2" numFmtId="164" xfId="0" applyAlignment="1" applyBorder="1" applyFill="1" applyFont="1" applyNumberFormat="1">
      <alignment readingOrder="0"/>
    </xf>
    <xf borderId="7" fillId="4" fontId="2" numFmtId="9" xfId="0" applyAlignment="1" applyBorder="1" applyFill="1" applyFont="1" applyNumberFormat="1">
      <alignment horizontal="center" readingOrder="0"/>
    </xf>
    <xf borderId="8" fillId="8" fontId="1" numFmtId="0" xfId="0" applyAlignment="1" applyBorder="1" applyFill="1" applyFont="1">
      <alignment horizontal="right" readingOrder="0"/>
    </xf>
    <xf borderId="9" fillId="8" fontId="1" numFmtId="9" xfId="0" applyBorder="1" applyFill="1" applyFont="1" applyNumberFormat="1"/>
    <xf borderId="8" fillId="4" fontId="1" numFmtId="0" xfId="0" applyAlignment="1" applyBorder="1" applyFill="1" applyFont="1">
      <alignment horizontal="right" readingOrder="0"/>
    </xf>
    <xf borderId="9" fillId="4" fontId="1" numFmtId="9" xfId="0" applyBorder="1" applyFill="1" applyFont="1" applyNumberFormat="1"/>
    <xf borderId="10" fillId="8" fontId="1" numFmtId="0" xfId="0" applyAlignment="1" applyBorder="1" applyFill="1" applyFont="1">
      <alignment horizontal="right" readingOrder="0"/>
    </xf>
    <xf borderId="11" fillId="8" fontId="1" numFmtId="164" xfId="0" applyBorder="1" applyFill="1" applyFont="1" applyNumberFormat="1"/>
    <xf borderId="12" fillId="8" fontId="1" numFmtId="9" xfId="0" applyBorder="1" applyFill="1" applyFont="1" applyNumberFormat="1"/>
    <xf borderId="4" fillId="8" fontId="1" numFmtId="0" xfId="0" applyAlignment="1" applyBorder="1" applyFill="1" applyFont="1">
      <alignment horizontal="center"/>
    </xf>
    <xf borderId="0" fillId="4" fontId="5" numFmtId="0" xfId="0" applyAlignment="1" applyFill="1" applyFont="1">
      <alignment readingOrder="0" shrinkToFit="0" wrapText="0"/>
    </xf>
    <xf borderId="8" fillId="4" fontId="5" numFmtId="0" xfId="0" applyAlignment="1" applyBorder="1" applyFill="1" applyFont="1">
      <alignment readingOrder="0" shrinkToFit="0" wrapText="0"/>
    </xf>
    <xf borderId="4" fillId="0" fontId="1" numFmtId="9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8" fillId="8" fontId="5" numFmtId="0" xfId="0" applyAlignment="1" applyBorder="1" applyFill="1" applyFont="1">
      <alignment readingOrder="0" shrinkToFit="0" wrapText="0"/>
    </xf>
    <xf borderId="8" fillId="4" fontId="5" numFmtId="0" xfId="0" applyAlignment="1" applyBorder="1" applyFill="1" applyFont="1">
      <alignment shrinkToFit="0" wrapText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8" fillId="8" fontId="5" numFmtId="0" xfId="0" applyAlignment="1" applyBorder="1" applyFill="1" applyFont="1">
      <alignment shrinkToFit="0" wrapText="0"/>
    </xf>
    <xf borderId="4" fillId="0" fontId="1" numFmtId="164" xfId="0" applyAlignment="1" applyBorder="1" applyFont="1" applyNumberFormat="1">
      <alignment readingOrder="0"/>
    </xf>
    <xf borderId="4" fillId="0" fontId="1" numFmtId="164" xfId="0" applyBorder="1" applyFont="1" applyNumberFormat="1"/>
    <xf borderId="0" fillId="3" fontId="1" numFmtId="164" xfId="0" applyFill="1" applyFont="1" applyNumberFormat="1"/>
    <xf borderId="10" fillId="8" fontId="1" numFmtId="0" xfId="0" applyAlignment="1" applyBorder="1" applyFill="1" applyFont="1">
      <alignment readingOrder="0"/>
    </xf>
    <xf borderId="11" fillId="8" fontId="1" numFmtId="0" xfId="0" applyAlignment="1" applyBorder="1" applyFill="1" applyFont="1">
      <alignment readingOrder="0"/>
    </xf>
    <xf borderId="11" fillId="6" fontId="1" numFmtId="164" xfId="0" applyAlignment="1" applyBorder="1" applyFill="1" applyFont="1" applyNumberFormat="1">
      <alignment readingOrder="0"/>
    </xf>
    <xf borderId="12" fillId="8" fontId="1" numFmtId="0" xfId="0" applyAlignment="1" applyBorder="1" applyFill="1" applyFont="1">
      <alignment readingOrder="0"/>
    </xf>
    <xf borderId="0" fillId="8" fontId="2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/>
    </xf>
    <xf borderId="0" fillId="8" fontId="1" numFmtId="164" xfId="0" applyAlignment="1" applyFill="1" applyFont="1" applyNumberFormat="1">
      <alignment readingOrder="0"/>
    </xf>
    <xf borderId="1" fillId="2" fontId="4" numFmtId="0" xfId="0" applyAlignment="1" applyBorder="1" applyFill="1" applyFont="1">
      <alignment horizontal="center" readingOrder="0"/>
    </xf>
    <xf borderId="4" fillId="2" fontId="4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readingOrder="0"/>
    </xf>
    <xf borderId="4" fillId="4" fontId="1" numFmtId="164" xfId="0" applyBorder="1" applyFill="1" applyFont="1" applyNumberFormat="1"/>
    <xf borderId="4" fillId="5" fontId="1" numFmtId="164" xfId="0" applyBorder="1" applyFill="1" applyFont="1" applyNumberFormat="1"/>
    <xf borderId="4" fillId="3" fontId="1" numFmtId="164" xfId="0" applyBorder="1" applyFill="1" applyFont="1" applyNumberFormat="1"/>
    <xf borderId="4" fillId="6" fontId="1" numFmtId="164" xfId="0" applyAlignment="1" applyBorder="1" applyFill="1" applyFont="1" applyNumberFormat="1">
      <alignment readingOrder="0"/>
    </xf>
    <xf borderId="4" fillId="3" fontId="1" numFmtId="165" xfId="0" applyAlignment="1" applyBorder="1" applyFill="1" applyFont="1" applyNumberFormat="1">
      <alignment readingOrder="0"/>
    </xf>
    <xf borderId="4" fillId="6" fontId="1" numFmtId="164" xfId="0" applyAlignment="1" applyBorder="1" applyFill="1" applyFont="1" applyNumberFormat="1">
      <alignment readingOrder="0"/>
    </xf>
    <xf borderId="4" fillId="6" fontId="1" numFmtId="165" xfId="0" applyAlignment="1" applyBorder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10" xfId="0" applyFont="1" applyNumberFormat="1"/>
    <xf borderId="0" fillId="3" fontId="1" numFmtId="165" xfId="0" applyAlignment="1" applyFill="1" applyFont="1" applyNumberFormat="1">
      <alignment readingOrder="0"/>
    </xf>
    <xf borderId="4" fillId="6" fontId="1" numFmtId="164" xfId="0" applyBorder="1" applyFill="1" applyFont="1" applyNumberFormat="1"/>
    <xf borderId="4" fillId="5" fontId="1" numFmtId="165" xfId="0" applyAlignment="1" applyBorder="1" applyFill="1" applyFont="1" applyNumberFormat="1">
      <alignment readingOrder="0"/>
    </xf>
    <xf borderId="4" fillId="6" fontId="5" numFmtId="164" xfId="0" applyAlignment="1" applyBorder="1" applyFill="1" applyFont="1" applyNumberFormat="1">
      <alignment horizontal="right" readingOrder="0" shrinkToFit="0" wrapText="0"/>
    </xf>
    <xf borderId="4" fillId="0" fontId="1" numFmtId="0" xfId="0" applyBorder="1" applyFont="1"/>
    <xf borderId="0" fillId="0" fontId="1" numFmtId="165" xfId="0" applyAlignment="1" applyFont="1" applyNumberFormat="1">
      <alignment readingOrder="0"/>
    </xf>
    <xf borderId="4" fillId="5" fontId="5" numFmtId="165" xfId="0" applyAlignment="1" applyBorder="1" applyFill="1" applyFont="1" applyNumberFormat="1">
      <alignment horizontal="right" shrinkToFit="0" wrapText="0"/>
    </xf>
    <xf borderId="4" fillId="3" fontId="5" numFmtId="165" xfId="0" applyAlignment="1" applyBorder="1" applyFill="1" applyFont="1" applyNumberFormat="1">
      <alignment horizontal="right" shrinkToFit="0" wrapText="0"/>
    </xf>
    <xf borderId="4" fillId="4" fontId="1" numFmtId="165" xfId="0" applyAlignment="1" applyBorder="1" applyFill="1" applyFont="1" applyNumberFormat="1">
      <alignment readingOrder="0"/>
    </xf>
    <xf borderId="4" fillId="6" fontId="5" numFmtId="165" xfId="0" applyAlignment="1" applyBorder="1" applyFill="1" applyFont="1" applyNumberFormat="1">
      <alignment horizontal="right" shrinkToFit="0" wrapText="0"/>
    </xf>
    <xf borderId="4" fillId="6" fontId="1" numFmtId="165" xfId="0" applyBorder="1" applyFill="1" applyFont="1" applyNumberFormat="1"/>
    <xf borderId="4" fillId="3" fontId="1" numFmtId="165" xfId="0" applyBorder="1" applyFill="1" applyFont="1" applyNumberFormat="1"/>
    <xf borderId="4" fillId="0" fontId="1" numFmtId="0" xfId="0" applyAlignment="1" applyBorder="1" applyFont="1">
      <alignment readingOrder="0"/>
    </xf>
    <xf borderId="4" fillId="4" fontId="5" numFmtId="165" xfId="0" applyAlignment="1" applyBorder="1" applyFill="1" applyFont="1" applyNumberFormat="1">
      <alignment horizontal="right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4">
    <tableStyle count="2" pivot="0" name="Set26-style">
      <tableStyleElement dxfId="1" type="firstRowStripe"/>
      <tableStyleElement dxfId="2" type="secondRowStripe"/>
    </tableStyle>
    <tableStyle count="2" pivot="0" name="Out26-style">
      <tableStyleElement dxfId="2" type="firstRowStripe"/>
      <tableStyleElement dxfId="1" type="secondRowStripe"/>
    </tableStyle>
    <tableStyle count="2" pivot="0" name="Ago26-style">
      <tableStyleElement dxfId="2" type="firstRowStripe"/>
      <tableStyleElement dxfId="1" type="secondRowStripe"/>
    </tableStyle>
    <tableStyle count="2" pivot="0" name="Set26-style 2">
      <tableStyleElement dxfId="2" type="firstRowStripe"/>
      <tableStyleElement dxfId="1" type="secondRowStripe"/>
    </tableStyle>
    <tableStyle count="2" pivot="0" name="Jul26-style">
      <tableStyleElement dxfId="2" type="firstRowStripe"/>
      <tableStyleElement dxfId="1" type="secondRowStripe"/>
    </tableStyle>
    <tableStyle count="2" pivot="0" name="May26-style">
      <tableStyleElement dxfId="2" type="firstRowStripe"/>
      <tableStyleElement dxfId="1" type="secondRowStripe"/>
    </tableStyle>
    <tableStyle count="2" pivot="0" name="Jun26-style">
      <tableStyleElement dxfId="2" type="firstRowStripe"/>
      <tableStyleElement dxfId="1" type="secondRowStripe"/>
    </tableStyle>
    <tableStyle count="2" pivot="0" name="Apr26-style">
      <tableStyleElement dxfId="2" type="firstRowStripe"/>
      <tableStyleElement dxfId="1" type="secondRowStripe"/>
    </tableStyle>
    <tableStyle count="2" pivot="0" name="Mar26-style">
      <tableStyleElement dxfId="2" type="firstRowStripe"/>
      <tableStyleElement dxfId="1" type="secondRowStripe"/>
    </tableStyle>
    <tableStyle count="2" pivot="0" name="Jan26-style">
      <tableStyleElement dxfId="2" type="firstRowStripe"/>
      <tableStyleElement dxfId="1" type="secondRowStripe"/>
    </tableStyle>
    <tableStyle count="2" pivot="0" name="Fev26-style">
      <tableStyleElement dxfId="2" type="firstRowStripe"/>
      <tableStyleElement dxfId="1" type="secondRowStripe"/>
    </tableStyle>
    <tableStyle count="2" pivot="0" name="Jan26-style 2">
      <tableStyleElement dxfId="1" type="firstRowStripe"/>
      <tableStyleElement dxfId="2" type="secondRowStripe"/>
    </tableStyle>
    <tableStyle count="2" pivot="0" name="Fev26-style 2">
      <tableStyleElement dxfId="1" type="firstRowStripe"/>
      <tableStyleElement dxfId="2" type="secondRowStripe"/>
    </tableStyle>
    <tableStyle count="2" pivot="0" name="Jan26-style 3">
      <tableStyleElement dxfId="2" type="firstRowStripe"/>
      <tableStyleElement dxfId="1" type="secondRowStripe"/>
    </tableStyle>
    <tableStyle count="2" pivot="0" name="Dezembro-style">
      <tableStyleElement dxfId="2" type="firstRowStripe"/>
      <tableStyleElement dxfId="1" type="secondRowStripe"/>
    </tableStyle>
    <tableStyle count="2" pivot="0" name="Novembro-style">
      <tableStyleElement dxfId="2" type="firstRowStripe"/>
      <tableStyleElement dxfId="1" type="secondRowStripe"/>
    </tableStyle>
    <tableStyle count="2" pivot="0" name="Outubro-style">
      <tableStyleElement dxfId="2" type="firstRowStripe"/>
      <tableStyleElement dxfId="1" type="secondRowStripe"/>
    </tableStyle>
    <tableStyle count="2" pivot="0" name="Julho-style">
      <tableStyleElement dxfId="2" type="firstRowStripe"/>
      <tableStyleElement dxfId="1" type="secondRowStripe"/>
    </tableStyle>
    <tableStyle count="2" pivot="0" name="Julho-style 2">
      <tableStyleElement dxfId="2" type="firstRowStripe"/>
      <tableStyleElement dxfId="1" type="secondRowStripe"/>
    </tableStyle>
    <tableStyle count="2" pivot="0" name="Julho-style 3">
      <tableStyleElement dxfId="1" type="firstRowStripe"/>
      <tableStyleElement dxfId="2" type="secondRowStripe"/>
    </tableStyle>
    <tableStyle count="2" pivot="0" name="Julho-style 4">
      <tableStyleElement dxfId="2" type="firstRowStripe"/>
      <tableStyleElement dxfId="1" type="secondRowStripe"/>
    </tableStyle>
    <tableStyle count="2" pivot="0" name="Maio-style">
      <tableStyleElement dxfId="2" type="firstRowStripe"/>
      <tableStyleElement dxfId="1" type="secondRowStripe"/>
    </tableStyle>
    <tableStyle count="2" pivot="0" name="Abril-style">
      <tableStyleElement dxfId="2" type="firstRowStripe"/>
      <tableStyleElement dxfId="1" type="secondRowStripe"/>
    </tableStyle>
    <tableStyle count="2" pivot="0" name="Até Fev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Quant. de oportunidades por fase no funil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Setembro!$O$3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Setembro!$O$4:$O$11</c:f>
              <c:numCache/>
            </c:numRef>
          </c:val>
        </c:ser>
        <c:ser>
          <c:idx val="1"/>
          <c:order val="1"/>
          <c:tx>
            <c:strRef>
              <c:f>Setembro!$P$3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Setembro!$P$4:$P$11</c:f>
              <c:numCache/>
            </c:numRef>
          </c:val>
        </c:ser>
        <c:ser>
          <c:idx val="2"/>
          <c:order val="2"/>
          <c:tx>
            <c:strRef>
              <c:f>Setembro!$Q$3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Setembro!$Q$4:$Q$11</c:f>
              <c:numCache/>
            </c:numRef>
          </c:val>
        </c:ser>
        <c:axId val="1172493468"/>
        <c:axId val="2134023653"/>
      </c:barChart>
      <c:catAx>
        <c:axId val="1172493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023653"/>
      </c:catAx>
      <c:valAx>
        <c:axId val="2134023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493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Quant. de opp por fase no funil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Agosto!$L$5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Agosto!$L$6:$L$12</c:f>
              <c:numCache/>
            </c:numRef>
          </c:val>
        </c:ser>
        <c:ser>
          <c:idx val="1"/>
          <c:order val="1"/>
          <c:tx>
            <c:strRef>
              <c:f>Agosto!$M$5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Agosto!$M$6:$M$12</c:f>
              <c:numCache/>
            </c:numRef>
          </c:val>
        </c:ser>
        <c:ser>
          <c:idx val="2"/>
          <c:order val="2"/>
          <c:tx>
            <c:strRef>
              <c:f>Agosto!$N$5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Agosto!$N$6:$N$12</c:f>
              <c:numCache/>
            </c:numRef>
          </c:val>
        </c:ser>
        <c:ser>
          <c:idx val="3"/>
          <c:order val="3"/>
          <c:tx>
            <c:strRef>
              <c:f>Agosto!$O$5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Agosto!$O$6:$O$12</c:f>
              <c:numCache/>
            </c:numRef>
          </c:val>
        </c:ser>
        <c:ser>
          <c:idx val="4"/>
          <c:order val="4"/>
          <c:tx>
            <c:strRef>
              <c:f>Agosto!$P$5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Agosto!$P$6:$P$12</c:f>
              <c:numCache/>
            </c:numRef>
          </c:val>
        </c:ser>
        <c:axId val="1955090077"/>
        <c:axId val="70480435"/>
      </c:barChart>
      <c:catAx>
        <c:axId val="1955090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80435"/>
      </c:catAx>
      <c:valAx>
        <c:axId val="70480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09007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Junho!$L$3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Junho!$L$4:$L$10</c:f>
              <c:numCache/>
            </c:numRef>
          </c:val>
        </c:ser>
        <c:ser>
          <c:idx val="1"/>
          <c:order val="1"/>
          <c:tx>
            <c:strRef>
              <c:f>Junho!$M$3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Junho!$M$4:$M$10</c:f>
              <c:numCache/>
            </c:numRef>
          </c:val>
        </c:ser>
        <c:ser>
          <c:idx val="2"/>
          <c:order val="2"/>
          <c:tx>
            <c:strRef>
              <c:f>Junho!$N$3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Junho!$N$4:$N$10</c:f>
              <c:numCache/>
            </c:numRef>
          </c:val>
        </c:ser>
        <c:ser>
          <c:idx val="3"/>
          <c:order val="3"/>
          <c:tx>
            <c:strRef>
              <c:f>Junho!$K$3</c:f>
            </c:strRef>
          </c:tx>
          <c:invertIfNegative val="0"/>
          <c:val>
            <c:numRef>
              <c:f>Junho!$K$4:$K$10</c:f>
              <c:numCache/>
            </c:numRef>
          </c:val>
        </c:ser>
        <c:axId val="613647626"/>
        <c:axId val="2056554605"/>
      </c:barChart>
      <c:catAx>
        <c:axId val="613647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554605"/>
      </c:catAx>
      <c:valAx>
        <c:axId val="2056554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647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Funil de quantidade de opps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Maio!$L$3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Maio!$K$4:$K$10</c:f>
            </c:strRef>
          </c:cat>
          <c:val>
            <c:numRef>
              <c:f>Maio!$L$4:$L$10</c:f>
              <c:numCache/>
            </c:numRef>
          </c:val>
        </c:ser>
        <c:ser>
          <c:idx val="1"/>
          <c:order val="1"/>
          <c:tx>
            <c:strRef>
              <c:f>Maio!$M$3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1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5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3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Maio!$K$4:$K$10</c:f>
            </c:strRef>
          </c:cat>
          <c:val>
            <c:numRef>
              <c:f>Maio!$M$4:$M$10</c:f>
              <c:numCache/>
            </c:numRef>
          </c:val>
        </c:ser>
        <c:axId val="755440655"/>
        <c:axId val="1183466106"/>
      </c:barChart>
      <c:catAx>
        <c:axId val="755440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466106"/>
      </c:catAx>
      <c:valAx>
        <c:axId val="1183466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440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QUANT. versus FASE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Abril!$M$3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Abril!$L$4:$L$10</c:f>
            </c:strRef>
          </c:cat>
          <c:val>
            <c:numRef>
              <c:f>Abril!$M$4:$M$10</c:f>
              <c:numCache/>
            </c:numRef>
          </c:val>
        </c:ser>
        <c:axId val="980110136"/>
        <c:axId val="1826530160"/>
      </c:barChart>
      <c:catAx>
        <c:axId val="980110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530160"/>
      </c:catAx>
      <c:valAx>
        <c:axId val="1826530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110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MARÇO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'Março'!$H$12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'Março'!$G$13:$G$15</c:f>
            </c:strRef>
          </c:cat>
          <c:val>
            <c:numRef>
              <c:f>'Março'!$H$13:$H$15</c:f>
              <c:numCache/>
            </c:numRef>
          </c:val>
        </c:ser>
        <c:axId val="988393705"/>
        <c:axId val="981264604"/>
      </c:barChart>
      <c:catAx>
        <c:axId val="988393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MARÇO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264604"/>
      </c:catAx>
      <c:valAx>
        <c:axId val="981264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393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FEVEREIRO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'Até Fev'!$H$8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'Até Fev'!$G$9:$G$12</c:f>
            </c:strRef>
          </c:cat>
          <c:val>
            <c:numRef>
              <c:f>'Até Fev'!$H$9:$H$12</c:f>
              <c:numCache/>
            </c:numRef>
          </c:val>
        </c:ser>
        <c:axId val="362782058"/>
        <c:axId val="1683674865"/>
      </c:barChart>
      <c:catAx>
        <c:axId val="362782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DISTRIBUIÇÃO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674865"/>
      </c:catAx>
      <c:valAx>
        <c:axId val="1683674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782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219075</xdr:colOff>
      <xdr:row>14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14</xdr:row>
      <xdr:rowOff>171450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381000</xdr:colOff>
      <xdr:row>15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523875</xdr:colOff>
      <xdr:row>11</xdr:row>
      <xdr:rowOff>133350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11</xdr:row>
      <xdr:rowOff>190500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2</xdr:row>
      <xdr:rowOff>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12</xdr:row>
      <xdr:rowOff>190500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I25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Out26-style" showColumnStripes="0" showFirstColumn="1" showLastColumn="1" showRowStripes="1"/>
</table>
</file>

<file path=xl/tables/table2.xml><?xml version="1.0" encoding="utf-8"?>
<table xmlns="http://schemas.openxmlformats.org/spreadsheetml/2006/main" headerRowCount="0" ref="D3:E3" displayName="Table_2" name="Table_2" id="1">
  <tableColumns count="2">
    <tableColumn name="Column1" id="1"/>
    <tableColumn name="Column2" id="2"/>
  </tableColumns>
  <tableStyleInfo name="Set26-style" showColumnStripes="0" showFirstColumn="1" showLastColumn="1" showRowStripes="1"/>
</table>
</file>

<file path=xl/tables/table3.xml><?xml version="1.0" encoding="utf-8"?>
<table xmlns="http://schemas.openxmlformats.org/spreadsheetml/2006/main" headerRowCount="0" ref="A4:I25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et26-style 2" showColumnStripes="0" showFirstColumn="1" showLastColumn="1" showRowStripes="1"/>
</table>
</file>

<file path=xl/tables/table4.xml><?xml version="1.0" encoding="utf-8"?>
<table xmlns="http://schemas.openxmlformats.org/spreadsheetml/2006/main" headerRowCount="0" ref="A3:I25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go26-style" showColumnStripes="0" showFirstColumn="1" showLastColumn="1" showRowStripes="1"/>
</table>
</file>

<file path=xl/tables/table5.xml><?xml version="1.0" encoding="utf-8"?>
<table xmlns="http://schemas.openxmlformats.org/spreadsheetml/2006/main" headerRowCount="0" ref="A3:I21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l26-style" showColumnStripes="0" showFirstColumn="1" showLastColumn="1" showRowStripes="1"/>
</table>
</file>

<file path=xl/tables/table6.xml><?xml version="1.0" encoding="utf-8"?>
<table xmlns="http://schemas.openxmlformats.org/spreadsheetml/2006/main" headerRowCount="0" ref="A3:I22" displayName="Table_6" name="Table_6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Jun26-style" showColumnStripes="0" showFirstColumn="1" showLastColumn="1" showRowStripes="1"/>
</table>
</file>

<file path=xl/tables/table7.xml><?xml version="1.0" encoding="utf-8"?>
<table xmlns="http://schemas.openxmlformats.org/spreadsheetml/2006/main" headerRowCount="0" ref="A3:I18" displayName="Table_7" name="Table_7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ay26-style" showColumnStripes="0" showFirstColumn="1" showLastColumn="1" showRowStripes="1"/>
</table>
</file>

<file path=xl/tables/table8.xml><?xml version="1.0" encoding="utf-8"?>
<table xmlns="http://schemas.openxmlformats.org/spreadsheetml/2006/main" headerRowCount="0" ref="A3:I16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pr26-style" showColumnStripes="0" showFirstColumn="1" showLastColumn="1" showRowStripes="1"/>
</table>
</file>

<file path=xl/tables/table9.xml><?xml version="1.0" encoding="utf-8"?>
<table xmlns="http://schemas.openxmlformats.org/spreadsheetml/2006/main" headerRowCount="0" ref="A3:I16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ar26-style" showColumnStripes="0" showFirstColumn="1" showLastColumn="1" showRowStripes="1"/>
</table>
</file>

<file path=xl/tables/table10.xml><?xml version="1.0" encoding="utf-8"?>
<table xmlns="http://schemas.openxmlformats.org/spreadsheetml/2006/main" headerRowCount="0" ref="A3:F16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ev26-style" showColumnStripes="0" showFirstColumn="1" showLastColumn="1" showRowStripes="1"/>
</table>
</file>

<file path=xl/tables/table11.xml><?xml version="1.0" encoding="utf-8"?>
<table xmlns="http://schemas.openxmlformats.org/spreadsheetml/2006/main" headerRowCount="0" ref="G5:I14" displayName="Table_13" name="Table_13" id="13">
  <tableColumns count="3">
    <tableColumn name="Column1" id="1"/>
    <tableColumn name="Column2" id="2"/>
    <tableColumn name="Column3" id="3"/>
  </tableColumns>
  <tableStyleInfo name="Fev26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3:F16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an26-style" showColumnStripes="0" showFirstColumn="1" showLastColumn="1" showRowStripes="1"/>
</table>
</file>

<file path=xl/tables/table13.xml><?xml version="1.0" encoding="utf-8"?>
<table xmlns="http://schemas.openxmlformats.org/spreadsheetml/2006/main" headerRowCount="0" ref="G5:I14" displayName="Table_12" name="Table_12" id="12">
  <tableColumns count="3">
    <tableColumn name="Column1" id="1"/>
    <tableColumn name="Column2" id="2"/>
    <tableColumn name="Column3" id="3"/>
  </tableColumns>
  <tableStyleInfo name="Jan26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17:E17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Jan26-style 3" showColumnStripes="0" showFirstColumn="1" showLastColumn="1" showRowStripes="1"/>
</table>
</file>

<file path=xl/tables/table15.xml><?xml version="1.0" encoding="utf-8"?>
<table xmlns="http://schemas.openxmlformats.org/spreadsheetml/2006/main" headerRowCount="0" ref="A29:E30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Dezembro-style" showColumnStripes="0" showFirstColumn="1" showLastColumn="1" showRowStripes="1"/>
</table>
</file>

<file path=xl/tables/table16.xml><?xml version="1.0" encoding="utf-8"?>
<table xmlns="http://schemas.openxmlformats.org/spreadsheetml/2006/main" headerRowCount="0" ref="A30:E31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Novembro-style" showColumnStripes="0" showFirstColumn="1" showLastColumn="1" showRowStripes="1"/>
</table>
</file>

<file path=xl/tables/table17.xml><?xml version="1.0" encoding="utf-8"?>
<table xmlns="http://schemas.openxmlformats.org/spreadsheetml/2006/main" headerRowCount="0" ref="A29:E30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Outubro-style" showColumnStripes="0" showFirstColumn="1" showLastColumn="1" showRowStripes="1"/>
</table>
</file>

<file path=xl/tables/table18.xml><?xml version="1.0" encoding="utf-8"?>
<table xmlns="http://schemas.openxmlformats.org/spreadsheetml/2006/main" headerRowCount="0" ref="K8:O11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Julho-style" showColumnStripes="0" showFirstColumn="1" showLastColumn="1" showRowStripes="1"/>
</table>
</file>

<file path=xl/tables/table19.xml><?xml version="1.0" encoding="utf-8"?>
<table xmlns="http://schemas.openxmlformats.org/spreadsheetml/2006/main" headerRowCount="0" ref="G9:I11" displayName="Table_19" name="Table_19" id="19">
  <tableColumns count="3">
    <tableColumn name="Column1" id="1"/>
    <tableColumn name="Column2" id="2"/>
    <tableColumn name="Column3" id="3"/>
  </tableColumns>
  <tableStyleInfo name="Julho-style 2" showColumnStripes="0" showFirstColumn="1" showLastColumn="1" showRowStripes="1"/>
</table>
</file>

<file path=xl/tables/table20.xml><?xml version="1.0" encoding="utf-8"?>
<table xmlns="http://schemas.openxmlformats.org/spreadsheetml/2006/main" headerRowCount="0" ref="G14:H17" displayName="Table_20" name="Table_20" id="20">
  <tableColumns count="2">
    <tableColumn name="Column1" id="1"/>
    <tableColumn name="Column2" id="2"/>
  </tableColumns>
  <tableStyleInfo name="Julho-style 3" showColumnStripes="0" showFirstColumn="1" showLastColumn="1" showRowStripes="1"/>
</table>
</file>

<file path=xl/tables/table21.xml><?xml version="1.0" encoding="utf-8"?>
<table xmlns="http://schemas.openxmlformats.org/spreadsheetml/2006/main" headerRowCount="0" ref="J33" displayName="Table_21" name="Table_21" id="21">
  <tableColumns count="1">
    <tableColumn name="Column1" id="1"/>
  </tableColumns>
  <tableStyleInfo name="Julho-style 4" showColumnStripes="0" showFirstColumn="1" showLastColumn="1" showRowStripes="1"/>
</table>
</file>

<file path=xl/tables/table22.xml><?xml version="1.0" encoding="utf-8"?>
<table xmlns="http://schemas.openxmlformats.org/spreadsheetml/2006/main" headerRowCount="0" ref="A8:F24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io-style" showColumnStripes="0" showFirstColumn="1" showLastColumn="1" showRowStripes="1"/>
</table>
</file>

<file path=xl/tables/table23.xml><?xml version="1.0" encoding="utf-8"?>
<table xmlns="http://schemas.openxmlformats.org/spreadsheetml/2006/main" headerRowCount="0" ref="A7:D24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Abril-style" showColumnStripes="0" showFirstColumn="1" showLastColumn="1" showRowStripes="1"/>
</table>
</file>

<file path=xl/tables/table24.xml><?xml version="1.0" encoding="utf-8"?>
<table xmlns="http://schemas.openxmlformats.org/spreadsheetml/2006/main" headerRowCount="0" ref="A16:E20" displayName="Table_24" name="Table_24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Até Fe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inu.co/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minu.co/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12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21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3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2" max="2" width="10.75"/>
    <col customWidth="1" hidden="1" min="3" max="3" width="13.38"/>
    <col customWidth="1" hidden="1" min="4" max="5" width="11.88"/>
    <col customWidth="1" hidden="1" min="6" max="6" width="3.13"/>
    <col customWidth="1" min="7" max="7" width="10.75"/>
    <col customWidth="1" min="8" max="10" width="10.25"/>
    <col customWidth="1" min="11" max="11" width="17.13"/>
    <col customWidth="1" min="12" max="12" width="45.75"/>
    <col customWidth="1" min="14" max="14" width="12.88"/>
  </cols>
  <sheetData>
    <row r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G2" s="3">
        <v>2025.0</v>
      </c>
      <c r="H2" s="4"/>
      <c r="I2" s="4"/>
      <c r="J2" s="5"/>
      <c r="L2" s="6" t="s">
        <v>5</v>
      </c>
      <c r="M2" s="7" t="s">
        <v>6</v>
      </c>
      <c r="P2" s="1" t="s">
        <v>7</v>
      </c>
      <c r="Q2" s="15">
        <f>SUM('Até Fev'!H11,'Março'!H14,Abril!H14,Maio!H14,Junho!H14,Julho!H16,Agosto!H18,Setembro!H18,Outubro!H19,Novembro!H20,Dezembro!H18)</f>
        <v>322806.0445</v>
      </c>
    </row>
    <row r="3">
      <c r="B3" s="1" t="s">
        <v>16</v>
      </c>
      <c r="C3" s="20">
        <f>'Até Fev'!H3</f>
        <v>445612.79</v>
      </c>
      <c r="D3" s="20">
        <f>'Até Fev'!H5</f>
        <v>188612.79</v>
      </c>
      <c r="E3" s="20">
        <f>'Até Fev'!H6</f>
        <v>257000</v>
      </c>
      <c r="G3" s="27" t="s">
        <v>6</v>
      </c>
      <c r="H3" s="28" t="s">
        <v>2</v>
      </c>
      <c r="I3" s="28" t="s">
        <v>3</v>
      </c>
      <c r="J3" s="30" t="s">
        <v>4</v>
      </c>
      <c r="L3" s="34" t="s">
        <v>30</v>
      </c>
      <c r="M3" s="45">
        <f>SUM('Até Fev'!H10:H11,'Março'!H14,Abril!H14:H15,Maio!H14,Junho!H14,Julho!H16,Agosto!H18:H19,Setembro!H18:H19,Outubro!H19,Novembro!H20:H21,Dezembro!H18)</f>
        <v>352096.601</v>
      </c>
      <c r="P3" s="1" t="s">
        <v>39</v>
      </c>
      <c r="Q3" s="15">
        <f>SUM(Agosto!H19,Setembro!H19,Novembro!H21)</f>
        <v>27560.74074</v>
      </c>
    </row>
    <row r="4">
      <c r="B4" s="1" t="s">
        <v>52</v>
      </c>
      <c r="C4" s="20">
        <f>'Março'!H5</f>
        <v>1066563.42</v>
      </c>
      <c r="D4" s="20">
        <f>'Março'!H9</f>
        <v>724192.89</v>
      </c>
      <c r="E4" s="20">
        <f>'Março'!H10</f>
        <v>317338.41</v>
      </c>
      <c r="G4" s="36" t="s">
        <v>16</v>
      </c>
      <c r="H4" s="15">
        <f>'Até Fev'!I3</f>
        <v>76829.79138</v>
      </c>
      <c r="I4" s="15">
        <f>'Até Fev'!I5</f>
        <v>32519.44655</v>
      </c>
      <c r="J4" s="65">
        <f>'Até Fev'!I6</f>
        <v>44310.34483</v>
      </c>
      <c r="L4" s="34" t="s">
        <v>24</v>
      </c>
      <c r="M4" s="45">
        <f>SUM('Até Fev'!H12,'Março'!H13,Maio!H13,Setembro!H17,Outubro!H18,Novembro!H19)</f>
        <v>286696.3779</v>
      </c>
      <c r="P4" s="1" t="s">
        <v>21</v>
      </c>
      <c r="Q4" s="66">
        <f>Novembro!D8</f>
        <v>20599</v>
      </c>
    </row>
    <row r="5">
      <c r="B5" s="1" t="s">
        <v>63</v>
      </c>
      <c r="G5" s="36" t="s">
        <v>52</v>
      </c>
      <c r="H5" s="15">
        <f>SUM(I5,J5)</f>
        <v>179574.3621</v>
      </c>
      <c r="I5" s="15">
        <f>'Março'!I9</f>
        <v>124860.8431</v>
      </c>
      <c r="J5" s="65">
        <f>'Março'!I10</f>
        <v>54713.51897</v>
      </c>
      <c r="L5" s="34" t="s">
        <v>68</v>
      </c>
      <c r="M5" s="45">
        <f>SUM('Até Fev'!H9,Maio!H15,Julho!H17,Novembro!H23,Novembro!D3)</f>
        <v>176107.7309</v>
      </c>
      <c r="P5" s="1" t="s">
        <v>29</v>
      </c>
      <c r="Q5" s="66">
        <f>Agosto!D6</f>
        <v>16666</v>
      </c>
    </row>
    <row r="6">
      <c r="B6" s="1" t="s">
        <v>75</v>
      </c>
      <c r="G6" s="36" t="s">
        <v>63</v>
      </c>
      <c r="H6" s="73">
        <v>10519.57</v>
      </c>
      <c r="I6" s="73">
        <v>10519.57</v>
      </c>
      <c r="J6" s="74">
        <v>0.0</v>
      </c>
      <c r="L6" s="34" t="s">
        <v>76</v>
      </c>
      <c r="M6" s="45">
        <f>SUM(Agosto!H20,Outubro!D13,Novembro!D8)</f>
        <v>39491.22642</v>
      </c>
      <c r="P6" s="1" t="s">
        <v>74</v>
      </c>
      <c r="Q6" s="66">
        <f>Outubro!D13</f>
        <v>2226.226415</v>
      </c>
    </row>
    <row r="7">
      <c r="B7" s="1" t="s">
        <v>78</v>
      </c>
      <c r="G7" s="36" t="s">
        <v>75</v>
      </c>
      <c r="H7" s="66">
        <f>Maio!H5</f>
        <v>44537.33429</v>
      </c>
      <c r="I7" s="15">
        <f>Maio!H9</f>
        <v>1872</v>
      </c>
      <c r="J7" s="65">
        <f>Maio!H10</f>
        <v>42665.33429</v>
      </c>
      <c r="P7" s="1" t="s">
        <v>82</v>
      </c>
      <c r="Q7" s="15">
        <f>SUM('Até Fev'!H10,Abril!H15,)</f>
        <v>1729.815831</v>
      </c>
    </row>
    <row r="8">
      <c r="B8" s="1" t="s">
        <v>85</v>
      </c>
      <c r="G8" s="36" t="s">
        <v>78</v>
      </c>
      <c r="H8" s="15">
        <f>Junho!H9</f>
        <v>55831</v>
      </c>
      <c r="I8" s="15">
        <f>H8</f>
        <v>55831</v>
      </c>
      <c r="J8" s="74">
        <v>0.0</v>
      </c>
    </row>
    <row r="9">
      <c r="B9" s="1" t="s">
        <v>88</v>
      </c>
      <c r="G9" s="36" t="s">
        <v>85</v>
      </c>
      <c r="H9" s="15">
        <f>SUM(I9:J9)</f>
        <v>34691.07</v>
      </c>
      <c r="I9" s="73">
        <f>Julho!H9</f>
        <v>25219.65</v>
      </c>
      <c r="J9" s="77">
        <f>SUM(Julho!D8)</f>
        <v>9471.42</v>
      </c>
    </row>
    <row r="10">
      <c r="B10" s="1" t="s">
        <v>89</v>
      </c>
      <c r="G10" s="36" t="s">
        <v>88</v>
      </c>
      <c r="H10" s="66">
        <f>Agosto!H8</f>
        <v>40868.4</v>
      </c>
      <c r="I10" s="15">
        <f>Agosto!H12</f>
        <v>40868.4</v>
      </c>
      <c r="J10" s="74">
        <v>0.0</v>
      </c>
    </row>
    <row r="11">
      <c r="B11" s="1" t="s">
        <v>90</v>
      </c>
      <c r="G11" s="36" t="s">
        <v>89</v>
      </c>
      <c r="H11" s="66">
        <f>Setembro!H8</f>
        <v>37324.35185</v>
      </c>
      <c r="I11" s="15">
        <f>Setembro!H12</f>
        <v>3991.018519</v>
      </c>
      <c r="J11" s="65">
        <f>Setembro!H13</f>
        <v>33333.33333</v>
      </c>
      <c r="N11" s="78"/>
    </row>
    <row r="12">
      <c r="B12" s="1" t="s">
        <v>91</v>
      </c>
      <c r="G12" s="36" t="s">
        <v>90</v>
      </c>
      <c r="H12" s="15">
        <f>Outubro!H8</f>
        <v>86962.34423</v>
      </c>
      <c r="I12" s="73">
        <f>Outubro!H12</f>
        <v>15536.73818</v>
      </c>
      <c r="J12" s="65">
        <f>Outubro!H13</f>
        <v>71425.60604</v>
      </c>
      <c r="N12" s="79"/>
    </row>
    <row r="13">
      <c r="B13" s="1" t="s">
        <v>92</v>
      </c>
      <c r="G13" s="36" t="s">
        <v>91</v>
      </c>
      <c r="H13" s="66">
        <f>Novembro!H9</f>
        <v>152929.3807</v>
      </c>
      <c r="I13" s="15">
        <f>Novembro!H13</f>
        <v>72337.12148</v>
      </c>
      <c r="J13" s="65">
        <f>Novembro!H14</f>
        <v>80592.25926</v>
      </c>
      <c r="N13" s="79"/>
    </row>
    <row r="14">
      <c r="B14" s="80" t="s">
        <v>93</v>
      </c>
      <c r="C14" s="81">
        <f t="shared" ref="C14:E14" si="1">SUM(C3:C13)</f>
        <v>1512176.21</v>
      </c>
      <c r="D14" s="81">
        <f t="shared" si="1"/>
        <v>912805.68</v>
      </c>
      <c r="E14" s="81">
        <f t="shared" si="1"/>
        <v>574338.41</v>
      </c>
      <c r="G14" s="36" t="s">
        <v>92</v>
      </c>
      <c r="H14" s="66">
        <f>Dezembro!H8</f>
        <v>7232.962963</v>
      </c>
      <c r="I14" s="66">
        <f>H14</f>
        <v>7232.962963</v>
      </c>
      <c r="J14" s="77">
        <f>H14-I14</f>
        <v>0</v>
      </c>
      <c r="N14" s="79"/>
    </row>
    <row r="15">
      <c r="G15" s="82" t="s">
        <v>93</v>
      </c>
      <c r="H15" s="83">
        <f t="shared" ref="H15:J15" si="2">SUM(H4:H14)</f>
        <v>727300.5675</v>
      </c>
      <c r="I15" s="83">
        <f t="shared" si="2"/>
        <v>390788.7508</v>
      </c>
      <c r="J15" s="84">
        <f t="shared" si="2"/>
        <v>336511.8167</v>
      </c>
    </row>
    <row r="16">
      <c r="G16" s="85" t="s">
        <v>94</v>
      </c>
      <c r="H16" s="86">
        <f t="shared" ref="H16:J16" si="3">AVERAGE(H4:H9)</f>
        <v>66997.18796</v>
      </c>
      <c r="I16" s="86">
        <f t="shared" si="3"/>
        <v>41803.75161</v>
      </c>
      <c r="J16" s="87">
        <f t="shared" si="3"/>
        <v>25193.43635</v>
      </c>
      <c r="L16" s="78"/>
    </row>
    <row r="18">
      <c r="G18" s="3">
        <v>2026.0</v>
      </c>
      <c r="H18" s="4"/>
      <c r="I18" s="4"/>
      <c r="J18" s="5"/>
      <c r="L18" s="3" t="s">
        <v>95</v>
      </c>
      <c r="M18" s="5"/>
    </row>
    <row r="19">
      <c r="G19" s="27" t="s">
        <v>6</v>
      </c>
      <c r="H19" s="28" t="s">
        <v>2</v>
      </c>
      <c r="I19" s="28" t="s">
        <v>3</v>
      </c>
      <c r="J19" s="30" t="s">
        <v>4</v>
      </c>
      <c r="L19" s="6">
        <v>2026.0</v>
      </c>
      <c r="M19" s="7" t="s">
        <v>6</v>
      </c>
    </row>
    <row r="20">
      <c r="G20" s="36" t="s">
        <v>96</v>
      </c>
      <c r="H20" s="66">
        <f>'Jan26'!H8</f>
        <v>56161.67677</v>
      </c>
      <c r="I20" s="66">
        <f>H20-J20</f>
        <v>12939.45455</v>
      </c>
      <c r="J20" s="77">
        <f>'Jan26'!D5</f>
        <v>43222.22222</v>
      </c>
      <c r="L20" s="34" t="s">
        <v>97</v>
      </c>
      <c r="M20" s="88">
        <f t="shared" ref="M20:M23" si="4">M3*3</f>
        <v>1056289.803</v>
      </c>
    </row>
    <row r="21">
      <c r="G21" s="36" t="s">
        <v>16</v>
      </c>
      <c r="H21" s="66">
        <f>'Fev26'!H8</f>
        <v>19528.75</v>
      </c>
      <c r="I21" s="66">
        <f t="shared" ref="I21:I24" si="5">H21</f>
        <v>19528.75</v>
      </c>
      <c r="J21" s="77">
        <f t="shared" ref="J21:J24" si="6">H21-I21</f>
        <v>0</v>
      </c>
      <c r="L21" s="34" t="s">
        <v>24</v>
      </c>
      <c r="M21" s="88">
        <f t="shared" si="4"/>
        <v>860089.1337</v>
      </c>
    </row>
    <row r="22">
      <c r="G22" s="36" t="s">
        <v>52</v>
      </c>
      <c r="H22" s="15">
        <f>'Mar26'!H10</f>
        <v>22008.03</v>
      </c>
      <c r="I22" s="15">
        <f t="shared" si="5"/>
        <v>22008.03</v>
      </c>
      <c r="J22" s="65">
        <f t="shared" si="6"/>
        <v>0</v>
      </c>
      <c r="L22" s="34" t="s">
        <v>98</v>
      </c>
      <c r="M22" s="88">
        <f t="shared" si="4"/>
        <v>528323.1928</v>
      </c>
    </row>
    <row r="23">
      <c r="G23" s="36" t="s">
        <v>63</v>
      </c>
      <c r="H23" s="73">
        <f>'Apr26'!H14</f>
        <v>6140</v>
      </c>
      <c r="I23" s="73">
        <f t="shared" si="5"/>
        <v>6140</v>
      </c>
      <c r="J23" s="65">
        <f t="shared" si="6"/>
        <v>0</v>
      </c>
      <c r="L23" s="34" t="s">
        <v>99</v>
      </c>
      <c r="M23" s="88">
        <f t="shared" si="4"/>
        <v>118473.6792</v>
      </c>
    </row>
    <row r="24">
      <c r="G24" s="36" t="s">
        <v>75</v>
      </c>
      <c r="H24" s="66">
        <f>'May26'!H14</f>
        <v>75344.74094</v>
      </c>
      <c r="I24" s="66">
        <f t="shared" si="5"/>
        <v>75344.74094</v>
      </c>
      <c r="J24" s="77">
        <f t="shared" si="6"/>
        <v>0</v>
      </c>
    </row>
    <row r="25">
      <c r="G25" s="36" t="s">
        <v>78</v>
      </c>
      <c r="H25" s="66">
        <f>'Jun26'!H14</f>
        <v>17351.21569</v>
      </c>
      <c r="I25" s="66">
        <f>'Jun26'!H18</f>
        <v>12811.60784</v>
      </c>
      <c r="J25" s="74">
        <f>'Jun26'!H19</f>
        <v>4539.607843</v>
      </c>
    </row>
    <row r="26">
      <c r="G26" s="36" t="s">
        <v>85</v>
      </c>
      <c r="H26" s="66">
        <f>'Jul26'!H14</f>
        <v>37747.58824</v>
      </c>
      <c r="I26" s="66">
        <f>'Jul26'!H18</f>
        <v>21277</v>
      </c>
      <c r="J26" s="65">
        <f>'Jul26'!H19</f>
        <v>16470.58824</v>
      </c>
    </row>
    <row r="27">
      <c r="G27" s="36" t="s">
        <v>88</v>
      </c>
      <c r="H27" s="66">
        <f>'Ago26'!H14</f>
        <v>41129.03846</v>
      </c>
      <c r="I27" s="66">
        <f>'Ago26'!H18</f>
        <v>2667.5</v>
      </c>
      <c r="J27" s="66">
        <f>'Ago26'!H19</f>
        <v>38461.53846</v>
      </c>
    </row>
    <row r="28">
      <c r="G28" s="36" t="s">
        <v>89</v>
      </c>
      <c r="H28" s="15">
        <f>'Set26'!H14</f>
        <v>234406.7421</v>
      </c>
      <c r="J28" s="51"/>
    </row>
    <row r="29">
      <c r="G29" s="36" t="s">
        <v>90</v>
      </c>
      <c r="J29" s="51"/>
    </row>
    <row r="30">
      <c r="G30" s="36" t="s">
        <v>91</v>
      </c>
      <c r="J30" s="51"/>
    </row>
    <row r="31">
      <c r="G31" s="36" t="s">
        <v>92</v>
      </c>
      <c r="J31" s="51"/>
    </row>
    <row r="32">
      <c r="G32" s="82" t="s">
        <v>93</v>
      </c>
      <c r="H32" s="89">
        <f>SUM(H20:H31)</f>
        <v>509817.7822</v>
      </c>
      <c r="I32" s="89">
        <f t="shared" ref="I32:J32" si="7">SUM(I21:I31)</f>
        <v>159777.6288</v>
      </c>
      <c r="J32" s="90">
        <f t="shared" si="7"/>
        <v>59471.73454</v>
      </c>
    </row>
    <row r="33">
      <c r="G33" s="85" t="s">
        <v>94</v>
      </c>
      <c r="H33" s="91">
        <f t="shared" ref="H33:J33" si="8">AVERAGE(H21:H26)</f>
        <v>29686.72081</v>
      </c>
      <c r="I33" s="91">
        <f t="shared" si="8"/>
        <v>26185.02146</v>
      </c>
      <c r="J33" s="92">
        <f t="shared" si="8"/>
        <v>3501.699346</v>
      </c>
    </row>
  </sheetData>
  <mergeCells count="3">
    <mergeCell ref="G2:J2"/>
    <mergeCell ref="G18:J18"/>
    <mergeCell ref="L18:M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9.13"/>
    <col customWidth="1" min="3" max="3" width="17.0"/>
    <col customWidth="1" min="4" max="4" width="11.63"/>
    <col customWidth="1" min="5" max="5" width="13.5"/>
    <col customWidth="1" min="7" max="7" width="13.63"/>
  </cols>
  <sheetData>
    <row r="1">
      <c r="A1" s="8" t="s">
        <v>8</v>
      </c>
      <c r="B1" s="9"/>
      <c r="C1" s="9"/>
      <c r="D1" s="9"/>
      <c r="E1" s="10"/>
    </row>
    <row r="2">
      <c r="A2" s="11" t="s">
        <v>11</v>
      </c>
      <c r="B2" s="13" t="s">
        <v>12</v>
      </c>
      <c r="C2" s="13" t="s">
        <v>13</v>
      </c>
      <c r="D2" s="13" t="s">
        <v>14</v>
      </c>
      <c r="E2" s="16" t="s">
        <v>15</v>
      </c>
    </row>
    <row r="3">
      <c r="A3" s="18" t="s">
        <v>17</v>
      </c>
      <c r="B3" s="19" t="s">
        <v>19</v>
      </c>
      <c r="C3" s="1" t="s">
        <v>21</v>
      </c>
      <c r="D3" s="22">
        <v>29000.0</v>
      </c>
      <c r="E3" s="23" t="s">
        <v>27</v>
      </c>
      <c r="F3" s="25"/>
      <c r="G3" s="26"/>
      <c r="H3" s="26"/>
      <c r="I3" s="26"/>
    </row>
    <row r="4">
      <c r="A4" s="18" t="s">
        <v>28</v>
      </c>
      <c r="B4" s="19" t="s">
        <v>19</v>
      </c>
      <c r="C4" s="1" t="s">
        <v>21</v>
      </c>
      <c r="D4" s="22">
        <v>25000.0</v>
      </c>
      <c r="E4" s="23" t="s">
        <v>27</v>
      </c>
      <c r="F4" s="31"/>
      <c r="G4" s="33"/>
      <c r="H4" s="33"/>
      <c r="I4" s="33"/>
    </row>
    <row r="5">
      <c r="A5" s="18" t="s">
        <v>31</v>
      </c>
      <c r="B5" s="19" t="s">
        <v>19</v>
      </c>
      <c r="C5" s="1" t="s">
        <v>21</v>
      </c>
      <c r="D5" s="22">
        <v>24000.0</v>
      </c>
      <c r="E5" s="23" t="s">
        <v>27</v>
      </c>
      <c r="F5" s="31"/>
      <c r="G5" s="26"/>
      <c r="H5" s="26"/>
      <c r="I5" s="26"/>
    </row>
    <row r="6">
      <c r="A6" s="36" t="s">
        <v>34</v>
      </c>
      <c r="B6" s="1" t="s">
        <v>23</v>
      </c>
      <c r="C6" s="1" t="s">
        <v>35</v>
      </c>
      <c r="D6" s="38">
        <v>15000.0</v>
      </c>
      <c r="E6" s="23" t="s">
        <v>27</v>
      </c>
      <c r="F6" s="39"/>
      <c r="G6" s="33"/>
      <c r="H6" s="33"/>
      <c r="I6" s="33"/>
    </row>
    <row r="7">
      <c r="A7" s="36" t="s">
        <v>37</v>
      </c>
      <c r="B7" s="19" t="s">
        <v>19</v>
      </c>
      <c r="C7" s="41" t="s">
        <v>39</v>
      </c>
      <c r="D7" s="44">
        <f>17175.76/5.16</f>
        <v>3328.635659</v>
      </c>
      <c r="E7" s="23" t="s">
        <v>27</v>
      </c>
      <c r="F7" s="31"/>
      <c r="G7" s="33"/>
      <c r="H7" s="33"/>
      <c r="I7" s="33"/>
    </row>
    <row r="8">
      <c r="A8" s="1" t="s">
        <v>43</v>
      </c>
      <c r="B8" s="1" t="s">
        <v>19</v>
      </c>
      <c r="C8" s="1" t="s">
        <v>7</v>
      </c>
      <c r="D8" s="44">
        <v>1380.0</v>
      </c>
      <c r="E8" s="1" t="s">
        <v>27</v>
      </c>
      <c r="F8" s="46"/>
      <c r="G8" s="43"/>
      <c r="H8" s="43"/>
      <c r="I8" s="43"/>
    </row>
    <row r="9">
      <c r="A9" s="36" t="s">
        <v>46</v>
      </c>
      <c r="B9" s="48" t="s">
        <v>47</v>
      </c>
      <c r="C9" s="1" t="s">
        <v>7</v>
      </c>
      <c r="D9" s="38">
        <v>2598.0</v>
      </c>
      <c r="E9" s="1" t="s">
        <v>27</v>
      </c>
      <c r="F9" s="24"/>
      <c r="G9" s="26"/>
      <c r="H9" s="26"/>
      <c r="I9" s="26"/>
    </row>
    <row r="10">
      <c r="F10" s="31"/>
      <c r="G10" s="26"/>
      <c r="H10" s="26"/>
      <c r="I10" s="26"/>
    </row>
    <row r="11">
      <c r="A11" s="50"/>
      <c r="E11" s="51"/>
      <c r="F11" s="31"/>
      <c r="H11" s="2" t="s">
        <v>48</v>
      </c>
    </row>
    <row r="12">
      <c r="A12" s="50"/>
      <c r="E12" s="51"/>
      <c r="F12" s="31"/>
      <c r="G12" s="49" t="s">
        <v>51</v>
      </c>
      <c r="H12" s="52" t="str">
        <f>D27</f>
        <v/>
      </c>
      <c r="I12" s="53">
        <v>1.0</v>
      </c>
    </row>
    <row r="13">
      <c r="A13" s="56"/>
      <c r="B13" s="58"/>
      <c r="C13" s="58"/>
      <c r="D13" s="62">
        <f>SUM(D3:D9)</f>
        <v>100306.6357</v>
      </c>
      <c r="E13" s="63"/>
      <c r="F13" s="47"/>
      <c r="G13" s="60"/>
      <c r="I13" s="61"/>
    </row>
    <row r="14">
      <c r="F14" s="31"/>
      <c r="G14" s="60" t="s">
        <v>58</v>
      </c>
      <c r="H14" s="67" t="str">
        <f>SUM(#REF!,#REF!,D7,D11,#REF!,#REF!,#REF!,#REF!,#REF!)</f>
        <v>#REF!</v>
      </c>
      <c r="I14" s="61" t="str">
        <f>H14/H12</f>
        <v>#REF!</v>
      </c>
    </row>
    <row r="15">
      <c r="F15" s="31"/>
      <c r="G15" s="60" t="s">
        <v>61</v>
      </c>
      <c r="I15" s="61" t="str">
        <f>H15/H12</f>
        <v>#DIV/0!</v>
      </c>
    </row>
    <row r="16">
      <c r="F16" s="26"/>
      <c r="G16" s="60" t="s">
        <v>64</v>
      </c>
      <c r="I16" s="61" t="str">
        <f>H16/H12</f>
        <v>#DIV/0!</v>
      </c>
    </row>
    <row r="17">
      <c r="F17" s="31"/>
      <c r="G17" s="69"/>
      <c r="H17" s="47"/>
      <c r="I17" s="47"/>
    </row>
    <row r="18">
      <c r="F18" s="26"/>
      <c r="G18" s="1" t="s">
        <v>66</v>
      </c>
      <c r="H18" s="47" t="str">
        <f>SUM(#REF!,D7,D11,#REF!,#REF!,#REF!,#REF!,#REF!)</f>
        <v>#REF!</v>
      </c>
      <c r="I18" s="47"/>
    </row>
    <row r="19">
      <c r="F19" s="31"/>
      <c r="G19" s="1" t="s">
        <v>70</v>
      </c>
      <c r="H19" s="47" t="str">
        <f>#REF!</f>
        <v>#REF!</v>
      </c>
      <c r="I19" s="47"/>
    </row>
    <row r="20">
      <c r="F20" s="31"/>
      <c r="G20" s="71" t="s">
        <v>71</v>
      </c>
      <c r="H20" s="47" t="str">
        <f>SUM(H18:H19)</f>
        <v>#REF!</v>
      </c>
      <c r="I20" s="47"/>
    </row>
    <row r="21">
      <c r="F21" s="31"/>
      <c r="G21" s="69"/>
      <c r="H21" s="47"/>
      <c r="I21" s="47"/>
    </row>
    <row r="22">
      <c r="F22" s="31"/>
      <c r="G22" s="69"/>
      <c r="H22" s="47"/>
      <c r="I22" s="47"/>
    </row>
    <row r="23">
      <c r="A23" s="50"/>
      <c r="E23" s="51"/>
      <c r="F23" s="26"/>
      <c r="G23" s="69"/>
      <c r="H23" s="47"/>
      <c r="I23" s="47"/>
    </row>
    <row r="24">
      <c r="A24" s="50"/>
      <c r="E24" s="51"/>
      <c r="F24" s="26"/>
      <c r="G24" s="69"/>
      <c r="H24" s="47"/>
      <c r="I24" s="47"/>
    </row>
    <row r="25">
      <c r="A25" s="50"/>
      <c r="E25" s="51"/>
      <c r="F25" s="26"/>
      <c r="G25" s="69"/>
      <c r="H25" s="47"/>
      <c r="I25" s="47"/>
    </row>
    <row r="26">
      <c r="A26" s="50"/>
      <c r="E26" s="51"/>
    </row>
    <row r="27">
      <c r="A27" s="50"/>
      <c r="E27" s="51"/>
    </row>
  </sheetData>
  <mergeCells count="1">
    <mergeCell ref="A1:E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9.13"/>
    <col customWidth="1" min="3" max="3" width="17.0"/>
    <col customWidth="1" min="4" max="4" width="11.63"/>
    <col customWidth="1" min="5" max="5" width="13.5"/>
    <col customWidth="1" min="7" max="7" width="13.63"/>
  </cols>
  <sheetData>
    <row r="1">
      <c r="A1" s="8" t="s">
        <v>10</v>
      </c>
      <c r="B1" s="9"/>
      <c r="C1" s="9"/>
      <c r="D1" s="9"/>
      <c r="E1" s="10"/>
    </row>
    <row r="2">
      <c r="A2" s="12" t="s">
        <v>11</v>
      </c>
      <c r="B2" s="14" t="s">
        <v>12</v>
      </c>
      <c r="C2" s="14" t="s">
        <v>13</v>
      </c>
      <c r="D2" s="14" t="s">
        <v>14</v>
      </c>
      <c r="E2" s="17" t="s">
        <v>15</v>
      </c>
    </row>
    <row r="3">
      <c r="A3" s="18" t="s">
        <v>18</v>
      </c>
      <c r="B3" s="19" t="s">
        <v>19</v>
      </c>
      <c r="C3" s="1" t="s">
        <v>22</v>
      </c>
      <c r="D3" s="21">
        <v>332000.0</v>
      </c>
      <c r="E3" s="23" t="s">
        <v>25</v>
      </c>
      <c r="F3" s="25"/>
      <c r="G3" s="26"/>
      <c r="H3" s="26"/>
      <c r="I3" s="26"/>
    </row>
    <row r="4">
      <c r="A4" s="18" t="s">
        <v>20</v>
      </c>
      <c r="B4" s="19" t="s">
        <v>23</v>
      </c>
      <c r="C4" s="1" t="s">
        <v>24</v>
      </c>
      <c r="D4" s="37">
        <f>1045127.57/5.14</f>
        <v>203332.2121</v>
      </c>
      <c r="E4" s="23" t="s">
        <v>26</v>
      </c>
      <c r="F4" s="31"/>
      <c r="G4" s="33"/>
      <c r="H4" s="33"/>
      <c r="I4" s="33"/>
    </row>
    <row r="5">
      <c r="A5" s="18" t="s">
        <v>38</v>
      </c>
      <c r="B5" s="19" t="s">
        <v>23</v>
      </c>
      <c r="C5" s="1" t="s">
        <v>24</v>
      </c>
      <c r="D5" s="42">
        <f>1000000/5.2</f>
        <v>192307.6923</v>
      </c>
      <c r="E5" s="23" t="s">
        <v>26</v>
      </c>
      <c r="F5" s="31"/>
      <c r="G5" s="26"/>
      <c r="H5" s="26"/>
      <c r="I5" s="26"/>
    </row>
    <row r="6">
      <c r="A6" s="18" t="s">
        <v>32</v>
      </c>
      <c r="B6" s="19" t="s">
        <v>19</v>
      </c>
      <c r="C6" s="19" t="s">
        <v>29</v>
      </c>
      <c r="D6" s="35">
        <v>33000.0</v>
      </c>
      <c r="E6" s="32" t="s">
        <v>33</v>
      </c>
      <c r="F6" s="39"/>
      <c r="G6" s="33"/>
      <c r="H6" s="33"/>
      <c r="I6" s="33"/>
    </row>
    <row r="7">
      <c r="A7" s="18" t="s">
        <v>17</v>
      </c>
      <c r="B7" s="19" t="s">
        <v>19</v>
      </c>
      <c r="C7" s="1" t="s">
        <v>21</v>
      </c>
      <c r="D7" s="21">
        <v>29000.0</v>
      </c>
      <c r="E7" s="23" t="s">
        <v>27</v>
      </c>
      <c r="F7" s="31"/>
      <c r="G7" s="33"/>
      <c r="H7" s="33"/>
      <c r="I7" s="33"/>
    </row>
    <row r="8">
      <c r="A8" s="18" t="s">
        <v>41</v>
      </c>
      <c r="B8" s="19" t="s">
        <v>23</v>
      </c>
      <c r="C8" s="1" t="s">
        <v>42</v>
      </c>
      <c r="D8" s="40">
        <v>28000.0</v>
      </c>
      <c r="E8" s="23" t="s">
        <v>27</v>
      </c>
      <c r="F8" s="46"/>
      <c r="G8" s="43"/>
      <c r="H8" s="43"/>
      <c r="I8" s="43"/>
    </row>
    <row r="9">
      <c r="A9" s="18" t="s">
        <v>49</v>
      </c>
      <c r="B9" s="19" t="s">
        <v>19</v>
      </c>
      <c r="C9" s="1" t="s">
        <v>50</v>
      </c>
      <c r="D9" s="42">
        <v>27000.0</v>
      </c>
      <c r="E9" s="23" t="s">
        <v>27</v>
      </c>
      <c r="F9" s="24"/>
      <c r="G9" s="26"/>
      <c r="H9" s="26"/>
      <c r="I9" s="26"/>
    </row>
    <row r="10">
      <c r="A10" s="18" t="s">
        <v>28</v>
      </c>
      <c r="B10" s="19" t="s">
        <v>19</v>
      </c>
      <c r="C10" s="1" t="s">
        <v>21</v>
      </c>
      <c r="D10" s="40">
        <v>25000.0</v>
      </c>
      <c r="E10" s="23" t="s">
        <v>27</v>
      </c>
      <c r="F10" s="31"/>
      <c r="G10" s="26"/>
      <c r="H10" s="26"/>
      <c r="I10" s="26"/>
    </row>
    <row r="11">
      <c r="A11" s="18" t="s">
        <v>31</v>
      </c>
      <c r="B11" s="19" t="s">
        <v>19</v>
      </c>
      <c r="C11" s="1" t="s">
        <v>21</v>
      </c>
      <c r="D11" s="21">
        <v>24000.0</v>
      </c>
      <c r="E11" s="23" t="s">
        <v>27</v>
      </c>
      <c r="F11" s="31"/>
      <c r="H11" s="2" t="s">
        <v>48</v>
      </c>
    </row>
    <row r="12">
      <c r="A12" s="54" t="s">
        <v>53</v>
      </c>
      <c r="B12" s="1" t="s">
        <v>19</v>
      </c>
      <c r="C12" s="1" t="s">
        <v>39</v>
      </c>
      <c r="D12" s="55">
        <v>12000.0</v>
      </c>
      <c r="E12" s="57" t="s">
        <v>27</v>
      </c>
      <c r="F12" s="31"/>
      <c r="G12" s="49" t="s">
        <v>51</v>
      </c>
      <c r="H12" s="52">
        <f>D28</f>
        <v>961880.7623</v>
      </c>
      <c r="I12" s="53">
        <v>1.0</v>
      </c>
    </row>
    <row r="13">
      <c r="A13" s="54" t="s">
        <v>57</v>
      </c>
      <c r="B13" s="1" t="s">
        <v>23</v>
      </c>
      <c r="C13" s="1" t="s">
        <v>42</v>
      </c>
      <c r="D13" s="64">
        <v>10000.0</v>
      </c>
      <c r="E13" s="57" t="s">
        <v>27</v>
      </c>
      <c r="F13" s="47"/>
      <c r="G13" s="60"/>
      <c r="I13" s="61"/>
    </row>
    <row r="14">
      <c r="A14" s="36" t="s">
        <v>59</v>
      </c>
      <c r="B14" s="1" t="s">
        <v>19</v>
      </c>
      <c r="C14" s="1" t="s">
        <v>7</v>
      </c>
      <c r="D14" s="55">
        <v>6140.0</v>
      </c>
      <c r="E14" s="23" t="s">
        <v>27</v>
      </c>
      <c r="F14" s="31"/>
      <c r="G14" s="60" t="s">
        <v>58</v>
      </c>
      <c r="H14" s="15">
        <f>SUM(D4,D12,D14,D15,D17,D20,D21,D22)</f>
        <v>234406.7421</v>
      </c>
      <c r="I14" s="61">
        <f>H14/H12</f>
        <v>0.2436962576</v>
      </c>
    </row>
    <row r="15">
      <c r="A15" s="54" t="s">
        <v>65</v>
      </c>
      <c r="B15" s="1" t="s">
        <v>19</v>
      </c>
      <c r="C15" s="1" t="s">
        <v>39</v>
      </c>
      <c r="D15" s="55">
        <v>5836.66</v>
      </c>
      <c r="E15" s="57" t="s">
        <v>27</v>
      </c>
      <c r="F15" s="31"/>
      <c r="G15" s="60" t="s">
        <v>61</v>
      </c>
      <c r="I15" s="61">
        <f>H15/H12</f>
        <v>0</v>
      </c>
    </row>
    <row r="16">
      <c r="A16" s="36" t="s">
        <v>67</v>
      </c>
      <c r="B16" s="1" t="s">
        <v>19</v>
      </c>
      <c r="C16" s="1" t="s">
        <v>39</v>
      </c>
      <c r="D16" s="70">
        <v>5280.0</v>
      </c>
      <c r="E16" s="23" t="s">
        <v>27</v>
      </c>
      <c r="F16" s="26"/>
      <c r="G16" s="60" t="s">
        <v>64</v>
      </c>
      <c r="I16" s="61">
        <f>H16/H12</f>
        <v>0</v>
      </c>
    </row>
    <row r="17">
      <c r="A17" s="54" t="s">
        <v>69</v>
      </c>
      <c r="B17" s="1" t="s">
        <v>19</v>
      </c>
      <c r="C17" s="1" t="s">
        <v>39</v>
      </c>
      <c r="D17" s="55">
        <v>4740.0</v>
      </c>
      <c r="E17" s="57" t="s">
        <v>27</v>
      </c>
      <c r="F17" s="31"/>
      <c r="G17" s="69"/>
      <c r="H17" s="47"/>
      <c r="I17" s="47"/>
    </row>
    <row r="18">
      <c r="A18" s="36" t="s">
        <v>72</v>
      </c>
      <c r="B18" s="19" t="s">
        <v>19</v>
      </c>
      <c r="C18" s="41" t="s">
        <v>39</v>
      </c>
      <c r="D18" s="29">
        <f>18500/5.2</f>
        <v>3557.692308</v>
      </c>
      <c r="E18" s="23" t="s">
        <v>27</v>
      </c>
      <c r="F18" s="26"/>
      <c r="G18" s="1" t="s">
        <v>66</v>
      </c>
      <c r="H18" s="72">
        <f>SUM(D12,D14,D15,D17,D20,D21,D22)</f>
        <v>31074.53</v>
      </c>
      <c r="I18" s="47"/>
    </row>
    <row r="19">
      <c r="A19" s="36" t="s">
        <v>37</v>
      </c>
      <c r="B19" s="19" t="s">
        <v>19</v>
      </c>
      <c r="C19" s="41" t="s">
        <v>39</v>
      </c>
      <c r="D19" s="35">
        <f>17175.76/5.16</f>
        <v>3328.635659</v>
      </c>
      <c r="E19" s="23" t="s">
        <v>27</v>
      </c>
      <c r="F19" s="31"/>
      <c r="G19" s="1" t="s">
        <v>70</v>
      </c>
      <c r="H19" s="76">
        <f>D4</f>
        <v>203332.2121</v>
      </c>
      <c r="I19" s="47"/>
    </row>
    <row r="20">
      <c r="A20" s="75" t="s">
        <v>77</v>
      </c>
      <c r="B20" s="48" t="s">
        <v>19</v>
      </c>
      <c r="C20" s="48" t="s">
        <v>7</v>
      </c>
      <c r="D20" s="55">
        <v>1200.0</v>
      </c>
      <c r="E20" s="23" t="s">
        <v>27</v>
      </c>
      <c r="F20" s="31"/>
      <c r="G20" s="71" t="s">
        <v>71</v>
      </c>
      <c r="H20" s="72">
        <f>SUM(H18:H19)</f>
        <v>234406.7421</v>
      </c>
      <c r="I20" s="47"/>
    </row>
    <row r="21">
      <c r="A21" s="36" t="s">
        <v>86</v>
      </c>
      <c r="B21" s="1" t="s">
        <v>19</v>
      </c>
      <c r="C21" s="1" t="s">
        <v>7</v>
      </c>
      <c r="D21" s="55">
        <v>960.0</v>
      </c>
      <c r="E21" s="23" t="s">
        <v>27</v>
      </c>
      <c r="F21" s="31"/>
      <c r="G21" s="69"/>
      <c r="H21" s="47"/>
      <c r="I21" s="47"/>
    </row>
    <row r="22">
      <c r="A22" s="36" t="s">
        <v>87</v>
      </c>
      <c r="B22" s="1" t="s">
        <v>19</v>
      </c>
      <c r="C22" s="1" t="s">
        <v>7</v>
      </c>
      <c r="D22" s="55">
        <v>197.87</v>
      </c>
      <c r="E22" s="23" t="s">
        <v>27</v>
      </c>
      <c r="F22" s="31"/>
      <c r="G22" s="69"/>
      <c r="H22" s="47"/>
      <c r="I22" s="47"/>
    </row>
    <row r="23">
      <c r="A23" s="36" t="s">
        <v>34</v>
      </c>
      <c r="B23" s="1" t="s">
        <v>23</v>
      </c>
      <c r="C23" s="1" t="s">
        <v>35</v>
      </c>
      <c r="D23" s="68">
        <v>15000.0</v>
      </c>
      <c r="E23" s="23" t="s">
        <v>27</v>
      </c>
      <c r="F23" s="26"/>
      <c r="G23" s="69"/>
      <c r="H23" s="47"/>
      <c r="I23" s="47"/>
    </row>
    <row r="24">
      <c r="A24" s="50"/>
      <c r="E24" s="51"/>
      <c r="F24" s="26"/>
      <c r="G24" s="69"/>
      <c r="H24" s="47"/>
      <c r="I24" s="47"/>
    </row>
    <row r="25">
      <c r="A25" s="50"/>
      <c r="E25" s="51"/>
      <c r="F25" s="26"/>
      <c r="G25" s="69"/>
      <c r="H25" s="47"/>
      <c r="I25" s="47"/>
    </row>
    <row r="26">
      <c r="A26" s="50"/>
      <c r="E26" s="51"/>
    </row>
    <row r="27">
      <c r="A27" s="50"/>
      <c r="E27" s="51"/>
    </row>
    <row r="28">
      <c r="A28" s="56"/>
      <c r="B28" s="58"/>
      <c r="C28" s="58"/>
      <c r="D28" s="62">
        <f>SUM(D3:D26)</f>
        <v>961880.7623</v>
      </c>
      <c r="E28" s="63"/>
    </row>
  </sheetData>
  <mergeCells count="1">
    <mergeCell ref="A1:E1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9.13"/>
    <col customWidth="1" min="3" max="3" width="17.0"/>
    <col customWidth="1" min="4" max="4" width="11.63"/>
    <col customWidth="1" min="5" max="5" width="13.5"/>
  </cols>
  <sheetData>
    <row r="1">
      <c r="A1" s="8" t="s">
        <v>9</v>
      </c>
      <c r="B1" s="9"/>
      <c r="C1" s="9"/>
      <c r="D1" s="9"/>
      <c r="E1" s="10"/>
    </row>
    <row r="2">
      <c r="A2" s="12" t="s">
        <v>11</v>
      </c>
      <c r="B2" s="14" t="s">
        <v>12</v>
      </c>
      <c r="C2" s="14" t="s">
        <v>13</v>
      </c>
      <c r="D2" s="14" t="s">
        <v>14</v>
      </c>
      <c r="E2" s="17" t="s">
        <v>15</v>
      </c>
    </row>
    <row r="3">
      <c r="A3" s="18" t="s">
        <v>20</v>
      </c>
      <c r="B3" s="19" t="s">
        <v>23</v>
      </c>
      <c r="C3" s="1" t="s">
        <v>24</v>
      </c>
      <c r="D3" s="21">
        <v>140000.0</v>
      </c>
      <c r="E3" s="23" t="s">
        <v>26</v>
      </c>
      <c r="F3" s="24"/>
      <c r="G3" s="26"/>
      <c r="H3" s="26"/>
      <c r="I3" s="26"/>
    </row>
    <row r="4">
      <c r="A4" s="18" t="s">
        <v>17</v>
      </c>
      <c r="B4" s="19" t="s">
        <v>19</v>
      </c>
      <c r="C4" s="19" t="s">
        <v>29</v>
      </c>
      <c r="D4" s="29">
        <v>78000.0</v>
      </c>
      <c r="E4" s="32" t="s">
        <v>27</v>
      </c>
      <c r="F4" s="33"/>
      <c r="G4" s="33"/>
      <c r="H4" s="33"/>
      <c r="I4" s="33"/>
    </row>
    <row r="5">
      <c r="A5" s="18" t="s">
        <v>32</v>
      </c>
      <c r="B5" s="19" t="s">
        <v>19</v>
      </c>
      <c r="C5" s="19" t="s">
        <v>29</v>
      </c>
      <c r="D5" s="35">
        <v>33000.0</v>
      </c>
      <c r="E5" s="32" t="s">
        <v>33</v>
      </c>
      <c r="F5" s="24"/>
      <c r="G5" s="26"/>
      <c r="H5" s="26"/>
      <c r="I5" s="26"/>
    </row>
    <row r="6">
      <c r="A6" s="18" t="s">
        <v>28</v>
      </c>
      <c r="B6" s="19" t="s">
        <v>19</v>
      </c>
      <c r="C6" s="1" t="s">
        <v>21</v>
      </c>
      <c r="D6" s="21">
        <v>25000.0</v>
      </c>
      <c r="E6" s="23" t="s">
        <v>27</v>
      </c>
      <c r="F6" s="33"/>
      <c r="G6" s="33"/>
      <c r="H6" s="33"/>
      <c r="I6" s="33"/>
    </row>
    <row r="7">
      <c r="A7" s="18" t="s">
        <v>36</v>
      </c>
      <c r="B7" s="19" t="s">
        <v>19</v>
      </c>
      <c r="C7" s="1" t="s">
        <v>21</v>
      </c>
      <c r="D7" s="40">
        <v>29000.0</v>
      </c>
      <c r="E7" s="23" t="s">
        <v>40</v>
      </c>
      <c r="F7" s="31"/>
      <c r="G7" s="33"/>
      <c r="H7" s="33"/>
      <c r="I7" s="33"/>
    </row>
    <row r="8">
      <c r="A8" s="1" t="s">
        <v>31</v>
      </c>
      <c r="B8" s="1" t="s">
        <v>19</v>
      </c>
      <c r="C8" s="1" t="s">
        <v>21</v>
      </c>
      <c r="D8" s="21">
        <v>24000.0</v>
      </c>
      <c r="E8" s="23" t="s">
        <v>27</v>
      </c>
      <c r="F8" s="43"/>
      <c r="G8" s="43"/>
      <c r="H8" s="43"/>
      <c r="I8" s="43"/>
    </row>
    <row r="9">
      <c r="A9" s="18" t="s">
        <v>17</v>
      </c>
      <c r="B9" s="19" t="s">
        <v>19</v>
      </c>
      <c r="C9" s="1" t="s">
        <v>21</v>
      </c>
      <c r="D9" s="21">
        <v>29000.0</v>
      </c>
      <c r="E9" s="23" t="s">
        <v>27</v>
      </c>
      <c r="F9" s="24"/>
      <c r="G9" s="26"/>
      <c r="H9" s="26"/>
      <c r="I9" s="26"/>
    </row>
    <row r="10">
      <c r="A10" s="18" t="s">
        <v>41</v>
      </c>
      <c r="B10" s="19" t="s">
        <v>23</v>
      </c>
      <c r="C10" s="1" t="s">
        <v>42</v>
      </c>
      <c r="D10" s="21">
        <v>28000.0</v>
      </c>
      <c r="E10" s="23" t="s">
        <v>27</v>
      </c>
      <c r="F10" s="24"/>
      <c r="G10" s="26"/>
      <c r="H10" s="26"/>
      <c r="I10" s="26"/>
    </row>
    <row r="11">
      <c r="A11" s="18" t="s">
        <v>44</v>
      </c>
      <c r="B11" s="19" t="s">
        <v>19</v>
      </c>
      <c r="C11" s="1" t="s">
        <v>45</v>
      </c>
      <c r="D11" s="42">
        <v>21758.84</v>
      </c>
      <c r="E11" s="23" t="s">
        <v>25</v>
      </c>
      <c r="F11" s="47"/>
      <c r="H11" s="2" t="s">
        <v>48</v>
      </c>
    </row>
    <row r="12">
      <c r="A12" s="18" t="s">
        <v>44</v>
      </c>
      <c r="B12" s="19" t="s">
        <v>23</v>
      </c>
      <c r="C12" s="41" t="s">
        <v>24</v>
      </c>
      <c r="D12" s="42">
        <v>21758.84</v>
      </c>
      <c r="E12" s="23" t="s">
        <v>25</v>
      </c>
      <c r="F12" s="47"/>
      <c r="G12" s="49" t="s">
        <v>51</v>
      </c>
      <c r="H12" s="52">
        <f>D27</f>
        <v>522572.4108</v>
      </c>
      <c r="I12" s="53">
        <v>1.0</v>
      </c>
    </row>
    <row r="13">
      <c r="A13" s="36" t="s">
        <v>54</v>
      </c>
      <c r="B13" s="19" t="s">
        <v>23</v>
      </c>
      <c r="C13" s="41" t="s">
        <v>24</v>
      </c>
      <c r="D13" s="59">
        <f t="shared" ref="D13:D14" si="1">100000/5.2</f>
        <v>19230.76923</v>
      </c>
      <c r="E13" s="23" t="s">
        <v>55</v>
      </c>
      <c r="F13" s="47"/>
      <c r="G13" s="60"/>
      <c r="I13" s="61"/>
    </row>
    <row r="14">
      <c r="A14" s="36" t="s">
        <v>56</v>
      </c>
      <c r="B14" s="19" t="s">
        <v>23</v>
      </c>
      <c r="C14" s="41" t="s">
        <v>24</v>
      </c>
      <c r="D14" s="59">
        <f t="shared" si="1"/>
        <v>19230.76923</v>
      </c>
      <c r="E14" s="23" t="s">
        <v>55</v>
      </c>
      <c r="F14" s="47"/>
      <c r="G14" s="60" t="s">
        <v>58</v>
      </c>
      <c r="H14" s="66">
        <f>SUM(D23:D25,D13:D14)</f>
        <v>41129.03846</v>
      </c>
      <c r="I14" s="61">
        <f>H14/H12</f>
        <v>0.07870495574</v>
      </c>
    </row>
    <row r="15">
      <c r="A15" s="18" t="s">
        <v>60</v>
      </c>
      <c r="B15" s="19" t="s">
        <v>23</v>
      </c>
      <c r="C15" s="1" t="s">
        <v>62</v>
      </c>
      <c r="D15" s="21">
        <v>19000.0</v>
      </c>
      <c r="E15" s="23" t="s">
        <v>40</v>
      </c>
      <c r="F15" s="47"/>
      <c r="G15" s="60" t="s">
        <v>61</v>
      </c>
      <c r="I15" s="61">
        <f>H15/H12</f>
        <v>0</v>
      </c>
    </row>
    <row r="16">
      <c r="A16" s="54" t="s">
        <v>53</v>
      </c>
      <c r="B16" s="1" t="s">
        <v>19</v>
      </c>
      <c r="C16" s="1" t="s">
        <v>39</v>
      </c>
      <c r="D16" s="68">
        <v>12019.0</v>
      </c>
      <c r="E16" s="57" t="s">
        <v>27</v>
      </c>
      <c r="F16" s="24"/>
      <c r="G16" s="60" t="s">
        <v>64</v>
      </c>
      <c r="I16" s="61">
        <f>H16/H12</f>
        <v>0</v>
      </c>
    </row>
    <row r="17">
      <c r="A17" s="54" t="s">
        <v>65</v>
      </c>
      <c r="B17" s="1" t="s">
        <v>19</v>
      </c>
      <c r="C17" s="1" t="s">
        <v>39</v>
      </c>
      <c r="D17" s="68">
        <v>5769.0</v>
      </c>
      <c r="E17" s="57" t="s">
        <v>27</v>
      </c>
      <c r="F17" s="24"/>
      <c r="G17" s="69"/>
      <c r="H17" s="47"/>
      <c r="I17" s="47"/>
    </row>
    <row r="18">
      <c r="A18" s="54" t="s">
        <v>69</v>
      </c>
      <c r="B18" s="1" t="s">
        <v>19</v>
      </c>
      <c r="C18" s="1" t="s">
        <v>39</v>
      </c>
      <c r="D18" s="68">
        <v>4740.0</v>
      </c>
      <c r="E18" s="57" t="s">
        <v>27</v>
      </c>
      <c r="F18" s="26"/>
      <c r="G18" s="1" t="s">
        <v>66</v>
      </c>
      <c r="H18" s="72">
        <f>SUM(D23:D25)</f>
        <v>2667.5</v>
      </c>
      <c r="I18" s="47"/>
    </row>
    <row r="19">
      <c r="A19" s="36" t="s">
        <v>73</v>
      </c>
      <c r="B19" s="19" t="s">
        <v>23</v>
      </c>
      <c r="C19" s="41" t="s">
        <v>74</v>
      </c>
      <c r="D19" s="29">
        <v>4000.0</v>
      </c>
      <c r="E19" s="23" t="s">
        <v>33</v>
      </c>
      <c r="F19" s="26"/>
      <c r="G19" s="1" t="s">
        <v>70</v>
      </c>
      <c r="H19" s="72">
        <f>SUM(D13:D14)</f>
        <v>38461.53846</v>
      </c>
      <c r="I19" s="47"/>
    </row>
    <row r="20">
      <c r="A20" s="36" t="s">
        <v>72</v>
      </c>
      <c r="B20" s="19" t="s">
        <v>19</v>
      </c>
      <c r="C20" s="41" t="s">
        <v>39</v>
      </c>
      <c r="D20" s="35">
        <f>18500/5.2</f>
        <v>3557.692308</v>
      </c>
      <c r="E20" s="23" t="s">
        <v>27</v>
      </c>
      <c r="F20" s="26"/>
      <c r="G20" s="71" t="s">
        <v>71</v>
      </c>
      <c r="H20" s="72">
        <f>SUM(H18:H19)</f>
        <v>41129.03846</v>
      </c>
      <c r="I20" s="47"/>
    </row>
    <row r="21">
      <c r="A21" s="75" t="s">
        <v>77</v>
      </c>
      <c r="B21" s="48" t="s">
        <v>19</v>
      </c>
      <c r="C21" s="48" t="s">
        <v>7</v>
      </c>
      <c r="D21" s="68">
        <v>1440.0</v>
      </c>
      <c r="E21" s="23" t="s">
        <v>27</v>
      </c>
      <c r="F21" s="26"/>
      <c r="G21" s="69"/>
      <c r="H21" s="47"/>
      <c r="I21" s="47"/>
    </row>
    <row r="22">
      <c r="A22" s="54" t="s">
        <v>79</v>
      </c>
      <c r="B22" s="1" t="s">
        <v>19</v>
      </c>
      <c r="C22" s="1" t="s">
        <v>39</v>
      </c>
      <c r="D22" s="70">
        <v>1400.0</v>
      </c>
      <c r="E22" s="57" t="s">
        <v>27</v>
      </c>
      <c r="F22" s="26"/>
      <c r="G22" s="69"/>
      <c r="H22" s="47"/>
      <c r="I22" s="47"/>
    </row>
    <row r="23">
      <c r="A23" s="75" t="s">
        <v>80</v>
      </c>
      <c r="B23" s="48" t="s">
        <v>19</v>
      </c>
      <c r="C23" s="48" t="s">
        <v>7</v>
      </c>
      <c r="D23" s="55">
        <v>1367.0</v>
      </c>
      <c r="E23" s="57" t="s">
        <v>81</v>
      </c>
      <c r="F23" s="26"/>
      <c r="G23" s="69"/>
      <c r="H23" s="47"/>
      <c r="I23" s="47"/>
    </row>
    <row r="24">
      <c r="A24" s="36" t="s">
        <v>83</v>
      </c>
      <c r="B24" s="19" t="s">
        <v>19</v>
      </c>
      <c r="C24" s="41" t="s">
        <v>7</v>
      </c>
      <c r="D24" s="59">
        <v>651.0</v>
      </c>
      <c r="E24" s="23" t="s">
        <v>27</v>
      </c>
      <c r="F24" s="26"/>
      <c r="G24" s="69"/>
      <c r="H24" s="47"/>
      <c r="I24" s="47"/>
    </row>
    <row r="25">
      <c r="A25" s="36" t="s">
        <v>84</v>
      </c>
      <c r="B25" s="1" t="s">
        <v>19</v>
      </c>
      <c r="C25" s="1" t="s">
        <v>7</v>
      </c>
      <c r="D25" s="55">
        <v>649.5</v>
      </c>
      <c r="E25" s="23" t="s">
        <v>81</v>
      </c>
      <c r="F25" s="26"/>
      <c r="G25" s="69"/>
      <c r="H25" s="47"/>
      <c r="I25" s="47"/>
    </row>
    <row r="26">
      <c r="A26" s="50"/>
      <c r="E26" s="51"/>
    </row>
    <row r="27">
      <c r="A27" s="56"/>
      <c r="B27" s="58"/>
      <c r="C27" s="58"/>
      <c r="D27" s="62">
        <f>SUM(D3:D25)</f>
        <v>522572.4108</v>
      </c>
      <c r="E27" s="63"/>
    </row>
  </sheetData>
  <mergeCells count="1">
    <mergeCell ref="A1:E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75"/>
    <col customWidth="1" min="2" max="2" width="9.13"/>
    <col customWidth="1" min="3" max="3" width="17.0"/>
    <col customWidth="1" min="4" max="4" width="11.63"/>
    <col customWidth="1" min="5" max="5" width="13.5"/>
  </cols>
  <sheetData>
    <row r="1">
      <c r="A1" s="8" t="s">
        <v>100</v>
      </c>
      <c r="B1" s="9"/>
      <c r="C1" s="9"/>
      <c r="D1" s="9"/>
      <c r="E1" s="10"/>
    </row>
    <row r="2">
      <c r="A2" s="12" t="s">
        <v>11</v>
      </c>
      <c r="B2" s="14" t="s">
        <v>12</v>
      </c>
      <c r="C2" s="14" t="s">
        <v>13</v>
      </c>
      <c r="D2" s="14" t="s">
        <v>14</v>
      </c>
      <c r="E2" s="17" t="s">
        <v>15</v>
      </c>
    </row>
    <row r="3">
      <c r="A3" s="18" t="s">
        <v>20</v>
      </c>
      <c r="B3" s="19" t="s">
        <v>23</v>
      </c>
      <c r="C3" s="1" t="s">
        <v>24</v>
      </c>
      <c r="D3" s="21">
        <v>140000.0</v>
      </c>
      <c r="E3" s="23" t="s">
        <v>26</v>
      </c>
      <c r="F3" s="24"/>
      <c r="G3" s="26"/>
      <c r="H3" s="26"/>
      <c r="I3" s="26"/>
    </row>
    <row r="4">
      <c r="A4" s="36" t="s">
        <v>101</v>
      </c>
      <c r="B4" s="1" t="s">
        <v>19</v>
      </c>
      <c r="C4" s="1" t="s">
        <v>45</v>
      </c>
      <c r="D4" s="42">
        <v>63000.0</v>
      </c>
      <c r="E4" s="23" t="s">
        <v>25</v>
      </c>
      <c r="F4" s="33"/>
      <c r="G4" s="33"/>
      <c r="H4" s="33"/>
      <c r="I4" s="33"/>
    </row>
    <row r="5">
      <c r="A5" s="18" t="s">
        <v>102</v>
      </c>
      <c r="B5" s="19" t="s">
        <v>19</v>
      </c>
      <c r="C5" s="19" t="s">
        <v>35</v>
      </c>
      <c r="D5" s="29">
        <v>47000.0</v>
      </c>
      <c r="E5" s="32" t="s">
        <v>26</v>
      </c>
      <c r="F5" s="24"/>
      <c r="G5" s="26"/>
      <c r="H5" s="26"/>
      <c r="I5" s="26"/>
    </row>
    <row r="6">
      <c r="A6" s="18" t="s">
        <v>32</v>
      </c>
      <c r="B6" s="19" t="s">
        <v>19</v>
      </c>
      <c r="C6" s="19" t="s">
        <v>29</v>
      </c>
      <c r="D6" s="35">
        <v>29000.0</v>
      </c>
      <c r="E6" s="32" t="s">
        <v>33</v>
      </c>
      <c r="F6" s="33"/>
      <c r="G6" s="33"/>
      <c r="H6" s="33"/>
      <c r="I6" s="33"/>
    </row>
    <row r="7">
      <c r="A7" s="18" t="s">
        <v>41</v>
      </c>
      <c r="B7" s="19" t="s">
        <v>23</v>
      </c>
      <c r="C7" s="1" t="s">
        <v>42</v>
      </c>
      <c r="D7" s="21">
        <v>28000.0</v>
      </c>
      <c r="E7" s="23" t="s">
        <v>27</v>
      </c>
      <c r="F7" s="31"/>
      <c r="G7" s="33"/>
      <c r="H7" s="33"/>
      <c r="I7" s="33"/>
    </row>
    <row r="8">
      <c r="A8" s="18" t="s">
        <v>57</v>
      </c>
      <c r="B8" s="19" t="s">
        <v>19</v>
      </c>
      <c r="C8" s="1" t="s">
        <v>21</v>
      </c>
      <c r="D8" s="21">
        <v>22000.0</v>
      </c>
      <c r="E8" s="23" t="s">
        <v>27</v>
      </c>
      <c r="F8" s="43"/>
      <c r="G8" s="43"/>
      <c r="H8" s="43"/>
      <c r="I8" s="43"/>
    </row>
    <row r="9">
      <c r="A9" s="18" t="s">
        <v>44</v>
      </c>
      <c r="B9" s="19" t="s">
        <v>19</v>
      </c>
      <c r="C9" s="1" t="s">
        <v>45</v>
      </c>
      <c r="D9" s="21">
        <v>21800.0</v>
      </c>
      <c r="E9" s="23" t="s">
        <v>25</v>
      </c>
      <c r="F9" s="24"/>
      <c r="G9" s="26"/>
      <c r="H9" s="26"/>
      <c r="I9" s="26"/>
    </row>
    <row r="10">
      <c r="A10" s="18" t="s">
        <v>105</v>
      </c>
      <c r="B10" s="19" t="s">
        <v>23</v>
      </c>
      <c r="C10" s="1" t="s">
        <v>24</v>
      </c>
      <c r="D10" s="42">
        <v>20000.0</v>
      </c>
      <c r="E10" s="23" t="s">
        <v>106</v>
      </c>
      <c r="F10" s="24"/>
      <c r="G10" s="26"/>
      <c r="H10" s="26"/>
      <c r="I10" s="26"/>
    </row>
    <row r="11">
      <c r="A11" s="18" t="s">
        <v>60</v>
      </c>
      <c r="B11" s="19" t="s">
        <v>23</v>
      </c>
      <c r="C11" s="1" t="s">
        <v>62</v>
      </c>
      <c r="D11" s="21">
        <v>19000.0</v>
      </c>
      <c r="E11" s="23" t="s">
        <v>40</v>
      </c>
      <c r="F11" s="47"/>
      <c r="H11" s="2" t="s">
        <v>48</v>
      </c>
    </row>
    <row r="12">
      <c r="A12" s="36" t="s">
        <v>108</v>
      </c>
      <c r="B12" s="19" t="s">
        <v>19</v>
      </c>
      <c r="C12" s="1" t="s">
        <v>39</v>
      </c>
      <c r="D12" s="29">
        <f>90000/5.2</f>
        <v>17307.69231</v>
      </c>
      <c r="E12" s="23" t="s">
        <v>27</v>
      </c>
      <c r="F12" s="47"/>
      <c r="G12" s="49" t="s">
        <v>51</v>
      </c>
      <c r="H12" s="52">
        <f>D23</f>
        <v>463506.2805</v>
      </c>
      <c r="I12" s="53">
        <v>1.0</v>
      </c>
    </row>
    <row r="13">
      <c r="A13" s="18" t="s">
        <v>123</v>
      </c>
      <c r="B13" s="19" t="s">
        <v>23</v>
      </c>
      <c r="C13" s="1" t="s">
        <v>24</v>
      </c>
      <c r="D13" s="37">
        <f>84000/5.1</f>
        <v>16470.58824</v>
      </c>
      <c r="E13" s="23" t="s">
        <v>125</v>
      </c>
      <c r="F13" s="47"/>
      <c r="G13" s="60"/>
      <c r="I13" s="61"/>
    </row>
    <row r="14">
      <c r="A14" s="36" t="s">
        <v>101</v>
      </c>
      <c r="B14" s="1" t="s">
        <v>23</v>
      </c>
      <c r="C14" s="1" t="s">
        <v>24</v>
      </c>
      <c r="D14" s="29">
        <v>15000.0</v>
      </c>
      <c r="E14" s="23" t="s">
        <v>25</v>
      </c>
      <c r="F14" s="47"/>
      <c r="G14" s="60" t="s">
        <v>58</v>
      </c>
      <c r="H14" s="66">
        <f>SUM(D18,D15,D20,D19,D16,D13)</f>
        <v>37747.58824</v>
      </c>
      <c r="I14" s="61">
        <f>H14/H12</f>
        <v>0.0814392163</v>
      </c>
    </row>
    <row r="15">
      <c r="A15" s="94" t="s">
        <v>120</v>
      </c>
      <c r="B15" s="1" t="s">
        <v>19</v>
      </c>
      <c r="C15" s="1" t="s">
        <v>45</v>
      </c>
      <c r="D15" s="59">
        <v>12031.0</v>
      </c>
      <c r="E15" s="23" t="s">
        <v>25</v>
      </c>
      <c r="F15" s="47"/>
      <c r="G15" s="60" t="s">
        <v>61</v>
      </c>
      <c r="I15" s="61">
        <f>H15/H12</f>
        <v>0</v>
      </c>
    </row>
    <row r="16">
      <c r="A16" s="36" t="s">
        <v>124</v>
      </c>
      <c r="B16" s="19" t="s">
        <v>19</v>
      </c>
      <c r="C16" s="41" t="s">
        <v>7</v>
      </c>
      <c r="D16" s="59">
        <v>6300.0</v>
      </c>
      <c r="E16" s="23" t="s">
        <v>27</v>
      </c>
      <c r="F16" s="26"/>
      <c r="G16" s="60" t="s">
        <v>64</v>
      </c>
      <c r="I16" s="61">
        <f>H16/H12</f>
        <v>0</v>
      </c>
    </row>
    <row r="17">
      <c r="A17" s="36" t="s">
        <v>126</v>
      </c>
      <c r="B17" s="19" t="s">
        <v>23</v>
      </c>
      <c r="C17" s="41" t="s">
        <v>74</v>
      </c>
      <c r="D17" s="29">
        <v>3000.0</v>
      </c>
      <c r="E17" s="93" t="s">
        <v>26</v>
      </c>
      <c r="F17" s="26"/>
      <c r="G17" s="69"/>
      <c r="H17" s="47"/>
      <c r="I17" s="47"/>
    </row>
    <row r="18">
      <c r="A18" s="36" t="s">
        <v>132</v>
      </c>
      <c r="B18" s="19" t="s">
        <v>19</v>
      </c>
      <c r="C18" s="41" t="s">
        <v>7</v>
      </c>
      <c r="D18" s="59">
        <v>1260.0</v>
      </c>
      <c r="E18" s="23" t="s">
        <v>27</v>
      </c>
      <c r="F18" s="26"/>
      <c r="G18" s="1" t="s">
        <v>66</v>
      </c>
      <c r="H18" s="72">
        <f>SUM(D15,D16,D18,D19,D20)</f>
        <v>21277</v>
      </c>
      <c r="I18" s="47"/>
    </row>
    <row r="19">
      <c r="A19" s="36" t="s">
        <v>136</v>
      </c>
      <c r="B19" s="19" t="s">
        <v>19</v>
      </c>
      <c r="C19" s="41" t="s">
        <v>7</v>
      </c>
      <c r="D19" s="59">
        <v>1035.0</v>
      </c>
      <c r="E19" s="23" t="s">
        <v>27</v>
      </c>
      <c r="F19" s="26"/>
      <c r="G19" s="1" t="s">
        <v>70</v>
      </c>
      <c r="H19" s="76">
        <f>D13</f>
        <v>16470.58824</v>
      </c>
      <c r="I19" s="47"/>
    </row>
    <row r="20">
      <c r="A20" s="36" t="s">
        <v>139</v>
      </c>
      <c r="B20" s="19" t="s">
        <v>19</v>
      </c>
      <c r="C20" s="41" t="s">
        <v>7</v>
      </c>
      <c r="D20" s="59">
        <v>651.0</v>
      </c>
      <c r="E20" s="23" t="s">
        <v>27</v>
      </c>
      <c r="F20" s="26"/>
      <c r="G20" s="71" t="s">
        <v>71</v>
      </c>
      <c r="H20" s="72">
        <f>SUM(H18:H19)</f>
        <v>37747.58824</v>
      </c>
      <c r="I20" s="47"/>
    </row>
    <row r="21">
      <c r="A21" s="36" t="s">
        <v>83</v>
      </c>
      <c r="B21" s="19" t="s">
        <v>19</v>
      </c>
      <c r="C21" s="41" t="s">
        <v>7</v>
      </c>
      <c r="D21" s="35">
        <v>651.0</v>
      </c>
      <c r="E21" s="23" t="s">
        <v>27</v>
      </c>
      <c r="F21" s="26"/>
      <c r="G21" s="69"/>
      <c r="H21" s="47"/>
      <c r="I21" s="47"/>
    </row>
    <row r="22">
      <c r="E22" s="51"/>
    </row>
    <row r="23">
      <c r="A23" s="56"/>
      <c r="B23" s="58"/>
      <c r="C23" s="58"/>
      <c r="D23" s="62">
        <f>SUM(D3:D21)</f>
        <v>463506.2805</v>
      </c>
      <c r="E23" s="63"/>
    </row>
  </sheetData>
  <mergeCells count="1">
    <mergeCell ref="A1:E1"/>
  </mergeCells>
  <hyperlinks>
    <hyperlink r:id="rId1" ref="A15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63"/>
    <col customWidth="1" min="2" max="2" width="9.13"/>
    <col customWidth="1" min="3" max="3" width="17.0"/>
    <col customWidth="1" min="4" max="4" width="11.63"/>
    <col customWidth="1" min="5" max="5" width="13.5"/>
  </cols>
  <sheetData>
    <row r="1">
      <c r="A1" s="8" t="s">
        <v>104</v>
      </c>
      <c r="B1" s="9"/>
      <c r="C1" s="9"/>
      <c r="D1" s="9"/>
      <c r="E1" s="10"/>
    </row>
    <row r="2">
      <c r="A2" s="12" t="s">
        <v>11</v>
      </c>
      <c r="B2" s="14" t="s">
        <v>12</v>
      </c>
      <c r="C2" s="14" t="s">
        <v>13</v>
      </c>
      <c r="D2" s="14" t="s">
        <v>14</v>
      </c>
      <c r="E2" s="17" t="s">
        <v>15</v>
      </c>
    </row>
    <row r="3">
      <c r="A3" s="36" t="s">
        <v>109</v>
      </c>
      <c r="B3" s="19" t="s">
        <v>19</v>
      </c>
      <c r="C3" s="41" t="s">
        <v>39</v>
      </c>
      <c r="D3" s="29">
        <v>125000.0</v>
      </c>
      <c r="E3" s="93" t="s">
        <v>27</v>
      </c>
      <c r="F3" s="24"/>
      <c r="G3" s="26"/>
      <c r="H3" s="26"/>
      <c r="I3" s="26"/>
    </row>
    <row r="4">
      <c r="A4" s="36" t="s">
        <v>110</v>
      </c>
      <c r="B4" s="19" t="s">
        <v>19</v>
      </c>
      <c r="C4" s="1" t="s">
        <v>39</v>
      </c>
      <c r="D4" s="29">
        <v>75000.0</v>
      </c>
      <c r="E4" s="23" t="s">
        <v>27</v>
      </c>
      <c r="F4" s="33"/>
      <c r="G4" s="33"/>
      <c r="H4" s="33"/>
      <c r="I4" s="33"/>
    </row>
    <row r="5">
      <c r="A5" s="18" t="s">
        <v>102</v>
      </c>
      <c r="B5" s="19" t="s">
        <v>19</v>
      </c>
      <c r="C5" s="19" t="s">
        <v>35</v>
      </c>
      <c r="D5" s="35">
        <v>47000.0</v>
      </c>
      <c r="E5" s="32" t="s">
        <v>26</v>
      </c>
      <c r="F5" s="24"/>
      <c r="G5" s="26"/>
      <c r="H5" s="26"/>
      <c r="I5" s="26"/>
    </row>
    <row r="6">
      <c r="A6" s="36" t="s">
        <v>112</v>
      </c>
      <c r="B6" s="19" t="s">
        <v>19</v>
      </c>
      <c r="C6" s="41" t="s">
        <v>7</v>
      </c>
      <c r="D6" s="29">
        <v>40000.0</v>
      </c>
      <c r="E6" s="93" t="s">
        <v>113</v>
      </c>
      <c r="F6" s="33"/>
      <c r="G6" s="33"/>
      <c r="H6" s="33"/>
      <c r="I6" s="33"/>
    </row>
    <row r="7">
      <c r="A7" s="18" t="s">
        <v>32</v>
      </c>
      <c r="B7" s="19" t="s">
        <v>19</v>
      </c>
      <c r="C7" s="19" t="s">
        <v>21</v>
      </c>
      <c r="D7" s="35">
        <v>29000.0</v>
      </c>
      <c r="E7" s="32" t="s">
        <v>33</v>
      </c>
      <c r="F7" s="31"/>
      <c r="G7" s="33"/>
      <c r="H7" s="33"/>
      <c r="I7" s="33"/>
    </row>
    <row r="8">
      <c r="A8" s="18" t="s">
        <v>49</v>
      </c>
      <c r="B8" s="19" t="s">
        <v>19</v>
      </c>
      <c r="C8" s="19" t="s">
        <v>50</v>
      </c>
      <c r="D8" s="29">
        <v>27000.0</v>
      </c>
      <c r="E8" s="32" t="s">
        <v>27</v>
      </c>
      <c r="F8" s="43"/>
      <c r="G8" s="43"/>
      <c r="H8" s="43"/>
      <c r="I8" s="43"/>
    </row>
    <row r="9">
      <c r="A9" s="18" t="s">
        <v>117</v>
      </c>
      <c r="B9" s="19" t="s">
        <v>19</v>
      </c>
      <c r="C9" s="19" t="s">
        <v>39</v>
      </c>
      <c r="D9" s="29">
        <f>129000/5.1</f>
        <v>25294.11765</v>
      </c>
      <c r="E9" s="32" t="s">
        <v>27</v>
      </c>
      <c r="F9" s="24"/>
      <c r="G9" s="26"/>
      <c r="H9" s="26"/>
      <c r="I9" s="26"/>
    </row>
    <row r="10">
      <c r="A10" s="1" t="s">
        <v>118</v>
      </c>
      <c r="B10" s="1" t="s">
        <v>19</v>
      </c>
      <c r="C10" s="1" t="s">
        <v>45</v>
      </c>
      <c r="D10" s="42">
        <v>23000.0</v>
      </c>
      <c r="E10" s="1" t="s">
        <v>26</v>
      </c>
      <c r="F10" s="24"/>
      <c r="G10" s="26"/>
      <c r="H10" s="26"/>
      <c r="I10" s="26"/>
    </row>
    <row r="11">
      <c r="A11" s="18" t="s">
        <v>57</v>
      </c>
      <c r="B11" s="19" t="s">
        <v>19</v>
      </c>
      <c r="C11" s="1" t="s">
        <v>21</v>
      </c>
      <c r="D11" s="21">
        <v>22000.0</v>
      </c>
      <c r="E11" s="23" t="s">
        <v>27</v>
      </c>
      <c r="F11" s="47"/>
      <c r="H11" s="2" t="s">
        <v>48</v>
      </c>
    </row>
    <row r="12">
      <c r="A12" s="18" t="s">
        <v>105</v>
      </c>
      <c r="B12" s="19" t="s">
        <v>23</v>
      </c>
      <c r="C12" s="1" t="s">
        <v>24</v>
      </c>
      <c r="D12" s="21">
        <v>20000.0</v>
      </c>
      <c r="E12" s="23" t="s">
        <v>106</v>
      </c>
      <c r="F12" s="47"/>
      <c r="G12" s="49" t="s">
        <v>51</v>
      </c>
      <c r="H12" s="52">
        <f>D27</f>
        <v>493918.8824</v>
      </c>
      <c r="I12" s="53">
        <v>1.0</v>
      </c>
    </row>
    <row r="13">
      <c r="A13" s="18" t="s">
        <v>119</v>
      </c>
      <c r="B13" s="19" t="s">
        <v>19</v>
      </c>
      <c r="C13" s="19" t="s">
        <v>21</v>
      </c>
      <c r="D13" s="29">
        <v>19000.0</v>
      </c>
      <c r="E13" s="32" t="s">
        <v>27</v>
      </c>
      <c r="F13" s="47"/>
      <c r="G13" s="60"/>
      <c r="I13" s="61"/>
    </row>
    <row r="14">
      <c r="A14" s="94" t="s">
        <v>120</v>
      </c>
      <c r="B14" s="1" t="s">
        <v>19</v>
      </c>
      <c r="C14" s="1" t="s">
        <v>45</v>
      </c>
      <c r="D14" s="35">
        <v>12000.0</v>
      </c>
      <c r="E14" s="23" t="s">
        <v>25</v>
      </c>
      <c r="F14" s="47"/>
      <c r="G14" s="60" t="s">
        <v>58</v>
      </c>
      <c r="H14" s="66">
        <f>SUM(D15,D18,D20,D21,D22,D23,D25)</f>
        <v>17351.21569</v>
      </c>
      <c r="I14" s="61">
        <f>H14/H12</f>
        <v>0.03512968689</v>
      </c>
    </row>
    <row r="15">
      <c r="A15" s="36" t="s">
        <v>122</v>
      </c>
      <c r="B15" s="1" t="s">
        <v>19</v>
      </c>
      <c r="C15" s="1" t="s">
        <v>7</v>
      </c>
      <c r="D15" s="59">
        <v>8350.0</v>
      </c>
      <c r="E15" s="23" t="s">
        <v>113</v>
      </c>
      <c r="F15" s="47"/>
      <c r="G15" s="60" t="s">
        <v>61</v>
      </c>
      <c r="I15" s="61">
        <f>H15/H12</f>
        <v>0</v>
      </c>
    </row>
    <row r="16">
      <c r="A16" s="36" t="s">
        <v>124</v>
      </c>
      <c r="B16" s="19" t="s">
        <v>19</v>
      </c>
      <c r="C16" s="41" t="s">
        <v>7</v>
      </c>
      <c r="D16" s="35">
        <v>6250.0</v>
      </c>
      <c r="E16" s="93" t="s">
        <v>113</v>
      </c>
      <c r="F16" s="26"/>
      <c r="G16" s="60" t="s">
        <v>64</v>
      </c>
      <c r="I16" s="61">
        <f>H16/H12</f>
        <v>0</v>
      </c>
    </row>
    <row r="17">
      <c r="A17" s="36" t="s">
        <v>126</v>
      </c>
      <c r="B17" s="19" t="s">
        <v>23</v>
      </c>
      <c r="C17" s="41" t="s">
        <v>74</v>
      </c>
      <c r="D17" s="35">
        <v>3000.0</v>
      </c>
      <c r="E17" s="93" t="s">
        <v>26</v>
      </c>
      <c r="F17" s="26"/>
      <c r="G17" s="69"/>
      <c r="H17" s="47"/>
      <c r="I17" s="47"/>
    </row>
    <row r="18">
      <c r="A18" s="36" t="s">
        <v>101</v>
      </c>
      <c r="B18" s="19" t="s">
        <v>23</v>
      </c>
      <c r="C18" s="1" t="s">
        <v>74</v>
      </c>
      <c r="D18" s="59">
        <f>12852/5.1</f>
        <v>2520</v>
      </c>
      <c r="E18" s="23" t="s">
        <v>25</v>
      </c>
      <c r="F18" s="26"/>
      <c r="G18" s="1" t="s">
        <v>66</v>
      </c>
      <c r="H18" s="72">
        <f>SUM(D15,D20,D22,D23,D25)</f>
        <v>12811.60784</v>
      </c>
      <c r="I18" s="47"/>
    </row>
    <row r="19">
      <c r="A19" s="36" t="s">
        <v>129</v>
      </c>
      <c r="B19" s="19" t="s">
        <v>23</v>
      </c>
      <c r="C19" s="1" t="s">
        <v>24</v>
      </c>
      <c r="D19" s="29">
        <f>12100/5.1</f>
        <v>2372.54902</v>
      </c>
      <c r="E19" s="23" t="s">
        <v>27</v>
      </c>
      <c r="F19" s="26"/>
      <c r="G19" s="1" t="s">
        <v>70</v>
      </c>
      <c r="H19" s="72">
        <f>SUM(D18,D21)</f>
        <v>4539.607843</v>
      </c>
      <c r="I19" s="47"/>
    </row>
    <row r="20">
      <c r="A20" s="36" t="s">
        <v>130</v>
      </c>
      <c r="B20" s="1" t="s">
        <v>19</v>
      </c>
      <c r="C20" s="1" t="s">
        <v>7</v>
      </c>
      <c r="D20" s="59">
        <v>2070.0</v>
      </c>
      <c r="E20" s="23" t="s">
        <v>113</v>
      </c>
      <c r="F20" s="26"/>
      <c r="G20" s="71" t="s">
        <v>71</v>
      </c>
      <c r="H20" s="47"/>
      <c r="I20" s="47"/>
    </row>
    <row r="21">
      <c r="A21" s="36" t="s">
        <v>129</v>
      </c>
      <c r="B21" s="19" t="s">
        <v>23</v>
      </c>
      <c r="C21" s="1" t="s">
        <v>62</v>
      </c>
      <c r="D21" s="59">
        <f>10300/5.1</f>
        <v>2019.607843</v>
      </c>
      <c r="E21" s="23" t="s">
        <v>27</v>
      </c>
      <c r="F21" s="26"/>
      <c r="G21" s="69"/>
      <c r="H21" s="47"/>
      <c r="I21" s="47"/>
    </row>
    <row r="22">
      <c r="A22" s="36" t="s">
        <v>69</v>
      </c>
      <c r="B22" s="1" t="s">
        <v>19</v>
      </c>
      <c r="C22" s="1" t="s">
        <v>39</v>
      </c>
      <c r="D22" s="95">
        <f>5557/5.1</f>
        <v>1089.607843</v>
      </c>
      <c r="E22" s="23" t="s">
        <v>27</v>
      </c>
      <c r="F22" s="26"/>
      <c r="G22" s="69"/>
      <c r="H22" s="47"/>
      <c r="I22" s="47"/>
    </row>
    <row r="23">
      <c r="A23" s="36" t="s">
        <v>134</v>
      </c>
      <c r="B23" s="1" t="s">
        <v>19</v>
      </c>
      <c r="C23" s="1" t="s">
        <v>7</v>
      </c>
      <c r="D23" s="59">
        <v>651.0</v>
      </c>
      <c r="E23" s="23" t="s">
        <v>113</v>
      </c>
    </row>
    <row r="24">
      <c r="A24" s="96" t="s">
        <v>135</v>
      </c>
      <c r="B24" s="1" t="s">
        <v>19</v>
      </c>
      <c r="C24" s="1" t="s">
        <v>7</v>
      </c>
      <c r="D24" s="29">
        <v>651.0</v>
      </c>
      <c r="E24" s="23" t="s">
        <v>113</v>
      </c>
    </row>
    <row r="25">
      <c r="A25" s="36" t="s">
        <v>137</v>
      </c>
      <c r="B25" s="1" t="s">
        <v>19</v>
      </c>
      <c r="C25" s="1" t="s">
        <v>7</v>
      </c>
      <c r="D25" s="59">
        <v>651.0</v>
      </c>
      <c r="E25" s="23" t="s">
        <v>113</v>
      </c>
    </row>
    <row r="26">
      <c r="A26" s="97"/>
      <c r="B26" s="24"/>
      <c r="C26" s="24"/>
      <c r="D26" s="98"/>
      <c r="E26" s="99"/>
    </row>
    <row r="27">
      <c r="A27" s="56"/>
      <c r="B27" s="58"/>
      <c r="C27" s="58"/>
      <c r="D27" s="62">
        <f>SUM(D3:D26)</f>
        <v>493918.8824</v>
      </c>
      <c r="E27" s="63"/>
    </row>
  </sheetData>
  <mergeCells count="1">
    <mergeCell ref="A1:E1"/>
  </mergeCells>
  <hyperlinks>
    <hyperlink r:id="rId1" ref="A14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63"/>
    <col customWidth="1" min="2" max="2" width="9.13"/>
    <col customWidth="1" min="3" max="3" width="17.0"/>
    <col customWidth="1" min="4" max="4" width="11.63"/>
    <col customWidth="1" min="5" max="5" width="13.5"/>
  </cols>
  <sheetData>
    <row r="1">
      <c r="A1" s="8" t="s">
        <v>103</v>
      </c>
      <c r="B1" s="9"/>
      <c r="C1" s="9"/>
      <c r="D1" s="9"/>
      <c r="E1" s="10"/>
    </row>
    <row r="2">
      <c r="A2" s="12" t="s">
        <v>11</v>
      </c>
      <c r="B2" s="14" t="s">
        <v>12</v>
      </c>
      <c r="C2" s="14" t="s">
        <v>13</v>
      </c>
      <c r="D2" s="14" t="s">
        <v>14</v>
      </c>
      <c r="E2" s="17" t="s">
        <v>15</v>
      </c>
    </row>
    <row r="3">
      <c r="A3" s="36" t="s">
        <v>107</v>
      </c>
      <c r="B3" s="19" t="s">
        <v>19</v>
      </c>
      <c r="C3" s="41" t="s">
        <v>39</v>
      </c>
      <c r="D3" s="29">
        <v>580000.0</v>
      </c>
      <c r="E3" s="93" t="s">
        <v>27</v>
      </c>
      <c r="F3" s="24"/>
      <c r="G3" s="26"/>
      <c r="H3" s="26"/>
      <c r="I3" s="26"/>
    </row>
    <row r="4">
      <c r="A4" s="36" t="s">
        <v>109</v>
      </c>
      <c r="B4" s="19" t="s">
        <v>19</v>
      </c>
      <c r="C4" s="41" t="s">
        <v>39</v>
      </c>
      <c r="D4" s="29">
        <v>80000.0</v>
      </c>
      <c r="E4" s="93" t="s">
        <v>27</v>
      </c>
      <c r="F4" s="33"/>
      <c r="G4" s="33"/>
      <c r="H4" s="33"/>
      <c r="I4" s="33"/>
    </row>
    <row r="5">
      <c r="A5" s="36" t="s">
        <v>111</v>
      </c>
      <c r="B5" s="19" t="s">
        <v>19</v>
      </c>
      <c r="C5" s="41" t="s">
        <v>39</v>
      </c>
      <c r="D5" s="59">
        <f>299999/4.95</f>
        <v>60605.85859</v>
      </c>
      <c r="E5" s="93" t="s">
        <v>27</v>
      </c>
      <c r="F5" s="24" t="s">
        <v>114</v>
      </c>
      <c r="G5" s="26"/>
      <c r="H5" s="26"/>
      <c r="I5" s="26"/>
    </row>
    <row r="6">
      <c r="A6" s="36" t="s">
        <v>115</v>
      </c>
      <c r="B6" s="19" t="s">
        <v>23</v>
      </c>
      <c r="C6" s="1" t="s">
        <v>24</v>
      </c>
      <c r="D6" s="21">
        <v>50000.0</v>
      </c>
      <c r="E6" s="23" t="s">
        <v>116</v>
      </c>
      <c r="F6" s="33"/>
      <c r="G6" s="33"/>
      <c r="H6" s="33"/>
      <c r="I6" s="33"/>
    </row>
    <row r="7">
      <c r="A7" s="36" t="s">
        <v>112</v>
      </c>
      <c r="B7" s="19" t="s">
        <v>19</v>
      </c>
      <c r="C7" s="41" t="s">
        <v>7</v>
      </c>
      <c r="D7" s="35">
        <v>40000.0</v>
      </c>
      <c r="E7" s="93" t="s">
        <v>113</v>
      </c>
      <c r="F7" s="31"/>
      <c r="G7" s="33"/>
      <c r="H7" s="33"/>
      <c r="I7" s="33"/>
    </row>
    <row r="8">
      <c r="A8" s="18" t="s">
        <v>121</v>
      </c>
      <c r="B8" s="19" t="s">
        <v>19</v>
      </c>
      <c r="C8" s="19" t="s">
        <v>21</v>
      </c>
      <c r="D8" s="29">
        <v>29000.0</v>
      </c>
      <c r="E8" s="32" t="s">
        <v>33</v>
      </c>
      <c r="F8" s="43"/>
      <c r="G8" s="43"/>
      <c r="H8" s="43"/>
      <c r="I8" s="43"/>
    </row>
    <row r="9">
      <c r="A9" s="36" t="s">
        <v>115</v>
      </c>
      <c r="B9" s="19" t="s">
        <v>19</v>
      </c>
      <c r="C9" s="1" t="s">
        <v>21</v>
      </c>
      <c r="D9" s="35">
        <v>29000.0</v>
      </c>
      <c r="E9" s="93" t="s">
        <v>116</v>
      </c>
      <c r="F9" s="24"/>
      <c r="G9" s="26"/>
      <c r="H9" s="26"/>
      <c r="I9" s="26"/>
    </row>
    <row r="10">
      <c r="A10" s="18" t="s">
        <v>32</v>
      </c>
      <c r="B10" s="19" t="s">
        <v>19</v>
      </c>
      <c r="C10" s="19" t="s">
        <v>21</v>
      </c>
      <c r="D10" s="35">
        <v>29000.0</v>
      </c>
      <c r="E10" s="32" t="s">
        <v>33</v>
      </c>
      <c r="F10" s="24"/>
      <c r="G10" s="26"/>
      <c r="H10" s="26"/>
      <c r="I10" s="26"/>
    </row>
    <row r="11">
      <c r="A11" s="36" t="s">
        <v>123</v>
      </c>
      <c r="B11" s="19" t="s">
        <v>23</v>
      </c>
      <c r="C11" s="41" t="s">
        <v>24</v>
      </c>
      <c r="D11" s="35">
        <v>20000.0</v>
      </c>
      <c r="E11" s="93" t="s">
        <v>125</v>
      </c>
      <c r="F11" s="47"/>
      <c r="H11" s="2" t="s">
        <v>48</v>
      </c>
    </row>
    <row r="12">
      <c r="A12" s="18" t="s">
        <v>105</v>
      </c>
      <c r="B12" s="19" t="s">
        <v>23</v>
      </c>
      <c r="C12" s="1" t="s">
        <v>24</v>
      </c>
      <c r="D12" s="21">
        <v>20000.0</v>
      </c>
      <c r="E12" s="23" t="s">
        <v>106</v>
      </c>
      <c r="F12" s="47"/>
      <c r="G12" s="49" t="s">
        <v>51</v>
      </c>
      <c r="H12" s="52">
        <f>D25</f>
        <v>972176.7017</v>
      </c>
      <c r="I12" s="53">
        <v>1.0</v>
      </c>
    </row>
    <row r="13">
      <c r="A13" s="36" t="s">
        <v>127</v>
      </c>
      <c r="B13" s="1" t="s">
        <v>23</v>
      </c>
      <c r="C13" s="1" t="s">
        <v>62</v>
      </c>
      <c r="D13" s="29">
        <v>10000.0</v>
      </c>
      <c r="E13" s="23" t="s">
        <v>33</v>
      </c>
      <c r="F13" s="47"/>
      <c r="G13" s="60"/>
      <c r="I13" s="61"/>
    </row>
    <row r="14">
      <c r="A14" s="36" t="s">
        <v>128</v>
      </c>
      <c r="B14" s="1" t="s">
        <v>19</v>
      </c>
      <c r="C14" s="1" t="s">
        <v>7</v>
      </c>
      <c r="D14" s="37">
        <v>4552.0</v>
      </c>
      <c r="E14" s="23" t="s">
        <v>113</v>
      </c>
      <c r="F14" s="47"/>
      <c r="G14" s="60" t="s">
        <v>58</v>
      </c>
      <c r="H14" s="66">
        <f>SUM(D5,D14,D15,D17,D20,D21,D23)</f>
        <v>75344.74094</v>
      </c>
      <c r="I14" s="61">
        <f>H14/H12</f>
        <v>0.07750107651</v>
      </c>
    </row>
    <row r="15">
      <c r="A15" s="18" t="s">
        <v>131</v>
      </c>
      <c r="B15" s="19" t="s">
        <v>19</v>
      </c>
      <c r="C15" s="19" t="s">
        <v>7</v>
      </c>
      <c r="D15" s="59">
        <v>4485.0</v>
      </c>
      <c r="E15" s="32" t="s">
        <v>113</v>
      </c>
      <c r="F15" s="47"/>
      <c r="G15" s="60" t="s">
        <v>61</v>
      </c>
      <c r="H15" s="66">
        <f>SUM(D3,D8,D13,D14,D17)</f>
        <v>626497.8824</v>
      </c>
      <c r="I15" s="61">
        <f>H15/H12</f>
        <v>0.6444279947</v>
      </c>
    </row>
    <row r="16">
      <c r="A16" s="18" t="s">
        <v>133</v>
      </c>
      <c r="B16" s="19" t="s">
        <v>19</v>
      </c>
      <c r="C16" s="19" t="s">
        <v>39</v>
      </c>
      <c r="D16" s="21">
        <f>19900/5.1</f>
        <v>3901.960784</v>
      </c>
      <c r="E16" s="32" t="s">
        <v>27</v>
      </c>
      <c r="F16" s="26"/>
      <c r="G16" s="60" t="s">
        <v>64</v>
      </c>
      <c r="I16" s="61">
        <f>H16/H12</f>
        <v>0</v>
      </c>
    </row>
    <row r="17">
      <c r="A17" s="18" t="s">
        <v>138</v>
      </c>
      <c r="B17" s="19" t="s">
        <v>19</v>
      </c>
      <c r="C17" s="19" t="s">
        <v>39</v>
      </c>
      <c r="D17" s="59">
        <f>15024/5.1</f>
        <v>2945.882353</v>
      </c>
      <c r="E17" s="32" t="s">
        <v>27</v>
      </c>
      <c r="F17" s="26"/>
      <c r="G17" s="69"/>
      <c r="H17" s="47"/>
      <c r="I17" s="47"/>
    </row>
    <row r="18">
      <c r="A18" s="36" t="s">
        <v>140</v>
      </c>
      <c r="B18" s="19" t="s">
        <v>19</v>
      </c>
      <c r="C18" s="41" t="s">
        <v>82</v>
      </c>
      <c r="D18" s="29">
        <v>2760.0</v>
      </c>
      <c r="E18" s="93" t="s">
        <v>113</v>
      </c>
      <c r="F18" s="26"/>
      <c r="G18" s="69"/>
      <c r="H18" s="47"/>
      <c r="I18" s="47"/>
    </row>
    <row r="19">
      <c r="A19" s="100" t="s">
        <v>141</v>
      </c>
      <c r="B19" s="1" t="s">
        <v>19</v>
      </c>
      <c r="C19" s="1" t="s">
        <v>7</v>
      </c>
      <c r="D19" s="29">
        <v>1519.0</v>
      </c>
      <c r="E19" s="23" t="s">
        <v>113</v>
      </c>
    </row>
    <row r="20">
      <c r="A20" s="36" t="s">
        <v>142</v>
      </c>
      <c r="B20" s="1" t="s">
        <v>19</v>
      </c>
      <c r="C20" s="1" t="s">
        <v>7</v>
      </c>
      <c r="D20" s="59">
        <v>1085.0</v>
      </c>
      <c r="E20" s="23" t="s">
        <v>113</v>
      </c>
    </row>
    <row r="21">
      <c r="A21" s="1" t="s">
        <v>143</v>
      </c>
      <c r="B21" s="1" t="s">
        <v>19</v>
      </c>
      <c r="C21" s="1" t="s">
        <v>7</v>
      </c>
      <c r="D21" s="59">
        <v>1020.0</v>
      </c>
      <c r="E21" s="23" t="s">
        <v>113</v>
      </c>
    </row>
    <row r="22">
      <c r="A22" s="36" t="s">
        <v>129</v>
      </c>
      <c r="B22" s="19" t="s">
        <v>23</v>
      </c>
      <c r="C22" s="1" t="s">
        <v>62</v>
      </c>
      <c r="D22" s="35">
        <v>1000.0</v>
      </c>
      <c r="E22" s="23" t="s">
        <v>27</v>
      </c>
    </row>
    <row r="23">
      <c r="A23" s="36" t="s">
        <v>144</v>
      </c>
      <c r="B23" s="1" t="s">
        <v>19</v>
      </c>
      <c r="C23" s="1" t="s">
        <v>7</v>
      </c>
      <c r="D23" s="59">
        <v>651.0</v>
      </c>
      <c r="E23" s="23" t="s">
        <v>113</v>
      </c>
    </row>
    <row r="24">
      <c r="A24" s="36" t="s">
        <v>134</v>
      </c>
      <c r="B24" s="1" t="s">
        <v>19</v>
      </c>
      <c r="C24" s="1" t="s">
        <v>7</v>
      </c>
      <c r="D24" s="35">
        <v>651.0</v>
      </c>
      <c r="E24" s="23" t="s">
        <v>113</v>
      </c>
    </row>
    <row r="25">
      <c r="A25" s="56"/>
      <c r="B25" s="58"/>
      <c r="C25" s="58"/>
      <c r="D25" s="62">
        <f>SUM(D3:D24)</f>
        <v>972176.7017</v>
      </c>
      <c r="E25" s="63"/>
    </row>
  </sheetData>
  <mergeCells count="1">
    <mergeCell ref="A1:E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63"/>
    <col customWidth="1" min="2" max="2" width="9.13"/>
    <col customWidth="1" min="3" max="3" width="11.75"/>
    <col customWidth="1" min="4" max="4" width="10.25"/>
    <col customWidth="1" min="5" max="5" width="13.5"/>
  </cols>
  <sheetData>
    <row r="1">
      <c r="A1" s="8" t="s">
        <v>145</v>
      </c>
      <c r="B1" s="9"/>
      <c r="C1" s="9"/>
      <c r="D1" s="9"/>
      <c r="E1" s="10"/>
    </row>
    <row r="2">
      <c r="A2" s="12" t="s">
        <v>11</v>
      </c>
      <c r="B2" s="14" t="s">
        <v>12</v>
      </c>
      <c r="C2" s="14" t="s">
        <v>13</v>
      </c>
      <c r="D2" s="14" t="s">
        <v>14</v>
      </c>
      <c r="E2" s="17" t="s">
        <v>15</v>
      </c>
    </row>
    <row r="3">
      <c r="A3" s="18" t="s">
        <v>146</v>
      </c>
      <c r="B3" s="19" t="s">
        <v>19</v>
      </c>
      <c r="C3" s="19" t="s">
        <v>147</v>
      </c>
      <c r="D3" s="35">
        <f>980000/5.2</f>
        <v>188461.5385</v>
      </c>
      <c r="E3" s="32" t="s">
        <v>27</v>
      </c>
      <c r="F3" s="24"/>
      <c r="G3" s="26"/>
      <c r="H3" s="26"/>
      <c r="I3" s="26"/>
    </row>
    <row r="4">
      <c r="A4" s="36" t="s">
        <v>112</v>
      </c>
      <c r="B4" s="19" t="s">
        <v>19</v>
      </c>
      <c r="C4" s="1" t="s">
        <v>7</v>
      </c>
      <c r="D4" s="35">
        <v>55000.0</v>
      </c>
      <c r="E4" s="93" t="s">
        <v>113</v>
      </c>
      <c r="F4" s="33"/>
      <c r="G4" s="33"/>
      <c r="H4" s="33"/>
      <c r="I4" s="33"/>
    </row>
    <row r="5">
      <c r="A5" s="36" t="s">
        <v>148</v>
      </c>
      <c r="B5" s="19" t="s">
        <v>19</v>
      </c>
      <c r="C5" s="41" t="s">
        <v>21</v>
      </c>
      <c r="D5" s="29">
        <v>32000.0</v>
      </c>
      <c r="E5" s="93" t="s">
        <v>27</v>
      </c>
      <c r="F5" s="24"/>
      <c r="G5" s="26"/>
      <c r="H5" s="26"/>
      <c r="I5" s="26"/>
    </row>
    <row r="6">
      <c r="A6" s="36" t="s">
        <v>31</v>
      </c>
      <c r="B6" s="19" t="s">
        <v>19</v>
      </c>
      <c r="C6" s="41" t="s">
        <v>21</v>
      </c>
      <c r="D6" s="35">
        <v>32000.0</v>
      </c>
      <c r="E6" s="93" t="s">
        <v>27</v>
      </c>
      <c r="F6" s="33"/>
      <c r="G6" s="33"/>
      <c r="H6" s="33"/>
      <c r="I6" s="33"/>
    </row>
    <row r="7">
      <c r="A7" s="36" t="s">
        <v>149</v>
      </c>
      <c r="B7" s="19" t="s">
        <v>19</v>
      </c>
      <c r="C7" s="1" t="s">
        <v>21</v>
      </c>
      <c r="D7" s="35">
        <v>22000.0</v>
      </c>
      <c r="E7" s="32" t="s">
        <v>27</v>
      </c>
      <c r="F7" s="31"/>
      <c r="G7" s="33"/>
      <c r="H7" s="33"/>
      <c r="I7" s="33"/>
    </row>
    <row r="8">
      <c r="A8" s="18" t="s">
        <v>150</v>
      </c>
      <c r="B8" s="19" t="s">
        <v>23</v>
      </c>
      <c r="C8" s="1" t="s">
        <v>24</v>
      </c>
      <c r="D8" s="101">
        <f>100000/5.3</f>
        <v>18867.92453</v>
      </c>
      <c r="E8" s="23" t="s">
        <v>25</v>
      </c>
      <c r="F8" s="43"/>
      <c r="G8" s="43"/>
      <c r="H8" s="43"/>
      <c r="I8" s="43"/>
    </row>
    <row r="9">
      <c r="A9" s="36" t="s">
        <v>101</v>
      </c>
      <c r="B9" s="19" t="s">
        <v>23</v>
      </c>
      <c r="C9" s="1" t="s">
        <v>151</v>
      </c>
      <c r="D9" s="102">
        <f>90000/5.2</f>
        <v>17307.69231</v>
      </c>
      <c r="E9" s="23" t="s">
        <v>125</v>
      </c>
      <c r="F9" s="24"/>
      <c r="G9" s="26"/>
      <c r="H9" s="26"/>
      <c r="I9" s="26"/>
    </row>
    <row r="10">
      <c r="A10" s="36" t="s">
        <v>128</v>
      </c>
      <c r="B10" s="19" t="s">
        <v>47</v>
      </c>
      <c r="C10" s="1" t="s">
        <v>7</v>
      </c>
      <c r="D10" s="29">
        <f>7300</f>
        <v>7300</v>
      </c>
      <c r="E10" s="93" t="s">
        <v>113</v>
      </c>
      <c r="F10" s="24"/>
      <c r="G10" s="26"/>
      <c r="H10" s="26"/>
      <c r="I10" s="26"/>
    </row>
    <row r="11">
      <c r="A11" s="18" t="s">
        <v>131</v>
      </c>
      <c r="B11" s="19" t="s">
        <v>19</v>
      </c>
      <c r="C11" s="19" t="s">
        <v>7</v>
      </c>
      <c r="D11" s="35">
        <v>4140.0</v>
      </c>
      <c r="E11" s="32" t="s">
        <v>113</v>
      </c>
      <c r="F11" s="47"/>
      <c r="H11" s="2" t="s">
        <v>48</v>
      </c>
    </row>
    <row r="12">
      <c r="A12" s="36" t="s">
        <v>152</v>
      </c>
      <c r="B12" s="19" t="s">
        <v>19</v>
      </c>
      <c r="C12" s="41" t="s">
        <v>7</v>
      </c>
      <c r="D12" s="29">
        <v>2000.0</v>
      </c>
      <c r="E12" s="93" t="s">
        <v>113</v>
      </c>
      <c r="F12" s="47"/>
      <c r="G12" s="49" t="s">
        <v>51</v>
      </c>
      <c r="H12" s="52">
        <f>D20</f>
        <v>382483.1553</v>
      </c>
      <c r="I12" s="53">
        <v>1.0</v>
      </c>
    </row>
    <row r="13">
      <c r="A13" s="36" t="s">
        <v>153</v>
      </c>
      <c r="B13" s="19" t="s">
        <v>19</v>
      </c>
      <c r="C13" s="1" t="s">
        <v>7</v>
      </c>
      <c r="D13" s="59">
        <f>8600/5</f>
        <v>1720</v>
      </c>
      <c r="E13" s="93" t="s">
        <v>113</v>
      </c>
      <c r="F13" s="47"/>
      <c r="G13" s="60"/>
      <c r="I13" s="61"/>
    </row>
    <row r="14">
      <c r="A14" s="36" t="s">
        <v>154</v>
      </c>
      <c r="B14" s="19" t="s">
        <v>19</v>
      </c>
      <c r="C14" s="1" t="s">
        <v>7</v>
      </c>
      <c r="D14" s="59">
        <v>1035.0</v>
      </c>
      <c r="E14" s="23" t="s">
        <v>113</v>
      </c>
      <c r="F14" s="47"/>
      <c r="G14" s="60" t="s">
        <v>58</v>
      </c>
      <c r="H14" s="66">
        <f>SUM(D11,D12,D16,D17,D18)</f>
        <v>6140</v>
      </c>
      <c r="I14" s="61">
        <f>H14/H12</f>
        <v>0.01605299453</v>
      </c>
    </row>
    <row r="15">
      <c r="A15" s="36" t="s">
        <v>155</v>
      </c>
      <c r="B15" s="19" t="s">
        <v>19</v>
      </c>
      <c r="C15" s="41" t="s">
        <v>7</v>
      </c>
      <c r="D15" s="59">
        <v>651.0</v>
      </c>
      <c r="E15" s="93" t="s">
        <v>113</v>
      </c>
      <c r="F15" s="47"/>
      <c r="G15" s="60" t="s">
        <v>61</v>
      </c>
      <c r="I15" s="61">
        <f>H15/H12</f>
        <v>0</v>
      </c>
    </row>
    <row r="16">
      <c r="A16" s="50"/>
      <c r="E16" s="51"/>
      <c r="F16" s="26"/>
      <c r="G16" s="60" t="s">
        <v>64</v>
      </c>
      <c r="I16" s="61">
        <f>H16/H12</f>
        <v>0</v>
      </c>
    </row>
    <row r="17">
      <c r="A17" s="50"/>
      <c r="E17" s="51"/>
    </row>
    <row r="18">
      <c r="A18" s="50"/>
      <c r="E18" s="51"/>
    </row>
    <row r="19">
      <c r="A19" s="50"/>
      <c r="E19" s="51"/>
    </row>
    <row r="20">
      <c r="A20" s="56"/>
      <c r="B20" s="58"/>
      <c r="C20" s="58"/>
      <c r="D20" s="103">
        <f>SUM(D2:D15)</f>
        <v>382483.1553</v>
      </c>
      <c r="E20" s="63"/>
    </row>
  </sheetData>
  <mergeCells count="1">
    <mergeCell ref="A1:E1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9.13"/>
    <col customWidth="1" min="3" max="3" width="11.75"/>
    <col customWidth="1" min="4" max="4" width="10.25"/>
    <col customWidth="1" min="5" max="5" width="13.5"/>
  </cols>
  <sheetData>
    <row r="1">
      <c r="A1" s="8" t="s">
        <v>156</v>
      </c>
      <c r="B1" s="9"/>
      <c r="C1" s="9"/>
      <c r="D1" s="9"/>
      <c r="E1" s="10"/>
    </row>
    <row r="2">
      <c r="A2" s="12" t="s">
        <v>11</v>
      </c>
      <c r="B2" s="14" t="s">
        <v>12</v>
      </c>
      <c r="C2" s="14" t="s">
        <v>13</v>
      </c>
      <c r="D2" s="14" t="s">
        <v>14</v>
      </c>
      <c r="E2" s="17" t="s">
        <v>15</v>
      </c>
    </row>
    <row r="3">
      <c r="A3" s="36" t="s">
        <v>157</v>
      </c>
      <c r="B3" s="19" t="s">
        <v>19</v>
      </c>
      <c r="C3" s="1" t="s">
        <v>39</v>
      </c>
      <c r="D3" s="102">
        <f>360000/5.2</f>
        <v>69230.76923</v>
      </c>
      <c r="E3" s="23" t="s">
        <v>27</v>
      </c>
      <c r="F3" s="24"/>
      <c r="G3" s="26"/>
      <c r="H3" s="26"/>
      <c r="I3" s="26"/>
    </row>
    <row r="4">
      <c r="A4" s="19" t="s">
        <v>158</v>
      </c>
      <c r="B4" s="19" t="s">
        <v>23</v>
      </c>
      <c r="C4" s="19" t="s">
        <v>24</v>
      </c>
      <c r="D4" s="29">
        <f>350000/5.2</f>
        <v>67307.69231</v>
      </c>
      <c r="E4" s="32" t="s">
        <v>27</v>
      </c>
      <c r="F4" s="33"/>
      <c r="G4" s="33"/>
      <c r="H4" s="33"/>
      <c r="I4" s="33"/>
    </row>
    <row r="5">
      <c r="A5" s="36" t="s">
        <v>112</v>
      </c>
      <c r="B5" s="19" t="s">
        <v>19</v>
      </c>
      <c r="C5" s="1" t="s">
        <v>7</v>
      </c>
      <c r="D5" s="35">
        <v>55000.0</v>
      </c>
      <c r="E5" s="93" t="s">
        <v>113</v>
      </c>
      <c r="F5" s="24"/>
      <c r="G5" s="26"/>
      <c r="H5" s="26"/>
      <c r="I5" s="26"/>
    </row>
    <row r="6">
      <c r="A6" s="36" t="s">
        <v>149</v>
      </c>
      <c r="B6" s="19" t="s">
        <v>19</v>
      </c>
      <c r="C6" s="1" t="s">
        <v>21</v>
      </c>
      <c r="D6" s="35">
        <v>22000.0</v>
      </c>
      <c r="E6" s="32" t="s">
        <v>27</v>
      </c>
      <c r="F6" s="33"/>
      <c r="G6" s="33"/>
      <c r="H6" s="33"/>
      <c r="I6" s="33"/>
    </row>
    <row r="7">
      <c r="A7" s="36" t="s">
        <v>159</v>
      </c>
      <c r="B7" s="19" t="s">
        <v>19</v>
      </c>
      <c r="C7" s="1" t="s">
        <v>7</v>
      </c>
      <c r="D7" s="37">
        <v>10032.0</v>
      </c>
      <c r="E7" s="93" t="s">
        <v>113</v>
      </c>
      <c r="F7" s="31"/>
      <c r="H7" s="2" t="s">
        <v>48</v>
      </c>
    </row>
    <row r="8">
      <c r="A8" s="104" t="s">
        <v>160</v>
      </c>
      <c r="B8" s="19" t="s">
        <v>19</v>
      </c>
      <c r="C8" s="41" t="s">
        <v>7</v>
      </c>
      <c r="D8" s="105">
        <v>9975.0</v>
      </c>
      <c r="E8" s="93" t="s">
        <v>113</v>
      </c>
      <c r="F8" s="43"/>
      <c r="G8" s="49" t="s">
        <v>51</v>
      </c>
      <c r="H8" s="52">
        <f>D16</f>
        <v>248340.3377</v>
      </c>
      <c r="I8" s="53">
        <v>1.0</v>
      </c>
    </row>
    <row r="9">
      <c r="A9" s="1" t="s">
        <v>161</v>
      </c>
      <c r="B9" s="19" t="s">
        <v>19</v>
      </c>
      <c r="C9" s="1" t="s">
        <v>162</v>
      </c>
      <c r="D9" s="102">
        <f>28000/5.2</f>
        <v>5384.615385</v>
      </c>
      <c r="E9" s="23" t="s">
        <v>27</v>
      </c>
      <c r="F9" s="24"/>
      <c r="G9" s="60"/>
      <c r="I9" s="61"/>
    </row>
    <row r="10">
      <c r="A10" s="18" t="s">
        <v>131</v>
      </c>
      <c r="B10" s="19" t="s">
        <v>19</v>
      </c>
      <c r="C10" s="19" t="s">
        <v>7</v>
      </c>
      <c r="D10" s="35">
        <v>4140.0</v>
      </c>
      <c r="E10" s="32" t="s">
        <v>113</v>
      </c>
      <c r="F10" s="24"/>
      <c r="G10" s="60" t="s">
        <v>58</v>
      </c>
      <c r="H10" s="15">
        <f>SUM(D7,D8,D12,D13,D14)</f>
        <v>22008.03</v>
      </c>
      <c r="I10" s="61">
        <f>H10/H8</f>
        <v>0.08862044002</v>
      </c>
    </row>
    <row r="11">
      <c r="A11" s="36" t="s">
        <v>165</v>
      </c>
      <c r="B11" s="19" t="s">
        <v>19</v>
      </c>
      <c r="C11" s="1" t="s">
        <v>39</v>
      </c>
      <c r="D11" s="102">
        <f>17000/5.2</f>
        <v>3269.230769</v>
      </c>
      <c r="E11" s="23" t="s">
        <v>27</v>
      </c>
      <c r="F11" s="47"/>
      <c r="G11" s="60" t="s">
        <v>61</v>
      </c>
      <c r="I11" s="61">
        <f>H11/H8</f>
        <v>0</v>
      </c>
    </row>
    <row r="12">
      <c r="A12" s="36" t="s">
        <v>167</v>
      </c>
      <c r="B12" s="19" t="s">
        <v>19</v>
      </c>
      <c r="C12" s="1" t="s">
        <v>7</v>
      </c>
      <c r="D12" s="37">
        <f>77.67*9</f>
        <v>699.03</v>
      </c>
      <c r="E12" s="93" t="s">
        <v>113</v>
      </c>
      <c r="F12" s="47"/>
      <c r="G12" s="60" t="s">
        <v>64</v>
      </c>
      <c r="I12" s="61">
        <f>H12/H8</f>
        <v>0</v>
      </c>
    </row>
    <row r="13">
      <c r="A13" s="36" t="s">
        <v>169</v>
      </c>
      <c r="B13" s="19" t="s">
        <v>19</v>
      </c>
      <c r="C13" s="41" t="s">
        <v>7</v>
      </c>
      <c r="D13" s="105">
        <v>651.0</v>
      </c>
      <c r="E13" s="93" t="s">
        <v>113</v>
      </c>
      <c r="F13" s="47"/>
    </row>
    <row r="14">
      <c r="A14" s="36" t="s">
        <v>170</v>
      </c>
      <c r="B14" s="19" t="s">
        <v>19</v>
      </c>
      <c r="C14" s="41" t="s">
        <v>7</v>
      </c>
      <c r="D14" s="105">
        <v>651.0</v>
      </c>
      <c r="E14" s="93" t="s">
        <v>113</v>
      </c>
      <c r="F14" s="47"/>
      <c r="G14" s="1" t="s">
        <v>66</v>
      </c>
      <c r="H14" s="109"/>
    </row>
    <row r="15">
      <c r="A15" s="50"/>
      <c r="E15" s="51"/>
      <c r="F15" s="47"/>
      <c r="G15" s="1" t="s">
        <v>70</v>
      </c>
      <c r="H15" s="109"/>
    </row>
    <row r="16">
      <c r="A16" s="56"/>
      <c r="B16" s="58"/>
      <c r="C16" s="58"/>
      <c r="D16" s="103">
        <f>SUM(D2:D14)</f>
        <v>248340.3377</v>
      </c>
      <c r="E16" s="63"/>
      <c r="F16" s="26"/>
      <c r="G16" s="71" t="s">
        <v>71</v>
      </c>
      <c r="H16" s="110"/>
      <c r="I16" s="47"/>
    </row>
  </sheetData>
  <mergeCells count="1">
    <mergeCell ref="A1:E1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9.13"/>
    <col customWidth="1" min="3" max="3" width="11.75"/>
    <col customWidth="1" min="4" max="4" width="10.25"/>
    <col customWidth="1" min="5" max="5" width="13.5"/>
    <col customWidth="1" min="6" max="6" width="34.38"/>
  </cols>
  <sheetData>
    <row r="1">
      <c r="A1" s="8" t="s">
        <v>163</v>
      </c>
      <c r="B1" s="9"/>
      <c r="C1" s="9"/>
      <c r="D1" s="9"/>
      <c r="E1" s="10"/>
    </row>
    <row r="2">
      <c r="A2" s="12" t="s">
        <v>11</v>
      </c>
      <c r="B2" s="14" t="s">
        <v>12</v>
      </c>
      <c r="C2" s="14" t="s">
        <v>13</v>
      </c>
      <c r="D2" s="14" t="s">
        <v>14</v>
      </c>
      <c r="E2" s="17" t="s">
        <v>15</v>
      </c>
    </row>
    <row r="3">
      <c r="A3" s="104" t="s">
        <v>160</v>
      </c>
      <c r="B3" s="41" t="s">
        <v>3</v>
      </c>
      <c r="C3" s="41" t="s">
        <v>7</v>
      </c>
      <c r="D3" s="106">
        <v>67000.0</v>
      </c>
      <c r="E3" s="93" t="s">
        <v>113</v>
      </c>
      <c r="F3" s="24"/>
    </row>
    <row r="4">
      <c r="A4" s="18" t="s">
        <v>158</v>
      </c>
      <c r="B4" s="19" t="s">
        <v>23</v>
      </c>
      <c r="C4" s="19" t="s">
        <v>24</v>
      </c>
      <c r="D4" s="35">
        <f>340000/5.4</f>
        <v>62962.96296</v>
      </c>
      <c r="E4" s="32" t="s">
        <v>27</v>
      </c>
      <c r="F4" s="33"/>
    </row>
    <row r="5">
      <c r="A5" s="36" t="s">
        <v>166</v>
      </c>
      <c r="B5" s="1" t="s">
        <v>19</v>
      </c>
      <c r="C5" s="1" t="s">
        <v>39</v>
      </c>
      <c r="D5" s="102">
        <f>200000/5.22</f>
        <v>38314.17625</v>
      </c>
      <c r="E5" s="23" t="s">
        <v>27</v>
      </c>
      <c r="F5" s="43"/>
      <c r="H5" s="2" t="s">
        <v>48</v>
      </c>
    </row>
    <row r="6">
      <c r="A6" s="97" t="s">
        <v>168</v>
      </c>
      <c r="B6" s="24" t="s">
        <v>19</v>
      </c>
      <c r="C6" s="24" t="s">
        <v>39</v>
      </c>
      <c r="D6" s="108">
        <f>172000/5.4</f>
        <v>31851.85185</v>
      </c>
      <c r="E6" s="99" t="s">
        <v>27</v>
      </c>
      <c r="F6" s="26"/>
      <c r="G6" s="49" t="s">
        <v>51</v>
      </c>
      <c r="H6" s="52">
        <f>SUM(D3:D14)</f>
        <v>247021.7411</v>
      </c>
      <c r="I6" s="53">
        <v>1.0</v>
      </c>
    </row>
    <row r="7">
      <c r="A7" s="36" t="s">
        <v>171</v>
      </c>
      <c r="B7" s="41" t="s">
        <v>3</v>
      </c>
      <c r="C7" s="1" t="s">
        <v>21</v>
      </c>
      <c r="D7" s="21">
        <v>22000.0</v>
      </c>
      <c r="E7" s="93" t="s">
        <v>27</v>
      </c>
      <c r="F7" s="26"/>
      <c r="G7" s="60"/>
      <c r="I7" s="61"/>
    </row>
    <row r="8">
      <c r="A8" s="1" t="s">
        <v>173</v>
      </c>
      <c r="B8" s="1" t="s">
        <v>19</v>
      </c>
      <c r="C8" s="1" t="s">
        <v>7</v>
      </c>
      <c r="D8" s="59">
        <v>16200.0</v>
      </c>
      <c r="E8" s="1" t="s">
        <v>113</v>
      </c>
      <c r="F8" s="71"/>
      <c r="G8" s="60" t="s">
        <v>58</v>
      </c>
      <c r="H8" s="66">
        <f>SUM(D8,D11:D14)</f>
        <v>19528.75</v>
      </c>
      <c r="I8" s="61">
        <f>H8/H6</f>
        <v>0.07905680656</v>
      </c>
    </row>
    <row r="9">
      <c r="A9" s="18" t="s">
        <v>174</v>
      </c>
      <c r="B9" s="19" t="s">
        <v>19</v>
      </c>
      <c r="C9" s="19" t="s">
        <v>7</v>
      </c>
      <c r="D9" s="35">
        <v>4140.0</v>
      </c>
      <c r="E9" s="32" t="s">
        <v>113</v>
      </c>
      <c r="F9" s="31"/>
      <c r="G9" s="60" t="s">
        <v>61</v>
      </c>
      <c r="I9" s="61">
        <f>H9/H6</f>
        <v>0</v>
      </c>
    </row>
    <row r="10">
      <c r="A10" s="97" t="s">
        <v>176</v>
      </c>
      <c r="B10" s="24" t="s">
        <v>19</v>
      </c>
      <c r="C10" s="24" t="s">
        <v>7</v>
      </c>
      <c r="D10" s="108">
        <v>1224.0</v>
      </c>
      <c r="E10" s="93" t="s">
        <v>113</v>
      </c>
      <c r="F10" s="26"/>
      <c r="G10" s="60" t="s">
        <v>64</v>
      </c>
      <c r="I10" s="61">
        <f>H10/H6</f>
        <v>0</v>
      </c>
    </row>
    <row r="11">
      <c r="A11" s="36" t="s">
        <v>177</v>
      </c>
      <c r="B11" s="24" t="s">
        <v>19</v>
      </c>
      <c r="C11" s="24" t="s">
        <v>7</v>
      </c>
      <c r="D11" s="111">
        <v>1035.0</v>
      </c>
      <c r="E11" s="99" t="s">
        <v>113</v>
      </c>
      <c r="F11" s="24"/>
    </row>
    <row r="12">
      <c r="A12" s="36" t="s">
        <v>178</v>
      </c>
      <c r="B12" s="24" t="s">
        <v>19</v>
      </c>
      <c r="C12" s="24" t="s">
        <v>7</v>
      </c>
      <c r="D12" s="111">
        <v>983.25</v>
      </c>
      <c r="E12" s="99" t="s">
        <v>113</v>
      </c>
      <c r="F12" s="24"/>
      <c r="G12" s="1" t="s">
        <v>66</v>
      </c>
      <c r="H12" s="109"/>
    </row>
    <row r="13">
      <c r="A13" s="97" t="s">
        <v>122</v>
      </c>
      <c r="B13" s="24" t="s">
        <v>19</v>
      </c>
      <c r="C13" s="24" t="s">
        <v>7</v>
      </c>
      <c r="D13" s="111">
        <v>662.5</v>
      </c>
      <c r="E13" s="99" t="s">
        <v>113</v>
      </c>
      <c r="F13" s="24"/>
      <c r="G13" s="1" t="s">
        <v>70</v>
      </c>
      <c r="H13" s="109"/>
    </row>
    <row r="14">
      <c r="A14" s="36" t="s">
        <v>179</v>
      </c>
      <c r="B14" s="24" t="s">
        <v>19</v>
      </c>
      <c r="C14" s="24" t="s">
        <v>7</v>
      </c>
      <c r="D14" s="111">
        <v>648.0</v>
      </c>
      <c r="E14" s="99" t="s">
        <v>113</v>
      </c>
      <c r="F14" s="24"/>
      <c r="G14" s="71" t="s">
        <v>71</v>
      </c>
      <c r="H14" s="110"/>
      <c r="I14" s="47"/>
    </row>
    <row r="15">
      <c r="A15" s="50"/>
      <c r="E15" s="51"/>
      <c r="F15" s="47"/>
    </row>
    <row r="16">
      <c r="A16" s="56"/>
      <c r="B16" s="58"/>
      <c r="C16" s="58"/>
      <c r="D16" s="103">
        <f>SUM(D2:D14)</f>
        <v>247021.7411</v>
      </c>
      <c r="E16" s="63"/>
      <c r="F16" s="26"/>
    </row>
  </sheetData>
  <mergeCells count="1">
    <mergeCell ref="A1:E1"/>
  </mergeCell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6" max="6" width="21.38"/>
  </cols>
  <sheetData>
    <row r="1">
      <c r="A1" s="8" t="s">
        <v>164</v>
      </c>
      <c r="B1" s="9"/>
      <c r="C1" s="9"/>
      <c r="D1" s="9"/>
      <c r="E1" s="10"/>
    </row>
    <row r="2">
      <c r="A2" s="12" t="s">
        <v>11</v>
      </c>
      <c r="B2" s="14" t="s">
        <v>12</v>
      </c>
      <c r="C2" s="14" t="s">
        <v>13</v>
      </c>
      <c r="D2" s="14" t="s">
        <v>14</v>
      </c>
      <c r="E2" s="17" t="s">
        <v>15</v>
      </c>
    </row>
    <row r="3">
      <c r="A3" s="104" t="s">
        <v>160</v>
      </c>
      <c r="B3" s="41" t="s">
        <v>3</v>
      </c>
      <c r="C3" s="41" t="s">
        <v>7</v>
      </c>
      <c r="D3" s="106">
        <v>70000.0</v>
      </c>
      <c r="E3" s="93" t="s">
        <v>113</v>
      </c>
      <c r="F3" s="24"/>
    </row>
    <row r="4">
      <c r="A4" s="18" t="s">
        <v>158</v>
      </c>
      <c r="B4" s="19" t="s">
        <v>23</v>
      </c>
      <c r="C4" s="19" t="s">
        <v>24</v>
      </c>
      <c r="D4" s="35">
        <f>340000/5.4</f>
        <v>62962.96296</v>
      </c>
      <c r="E4" s="32" t="s">
        <v>27</v>
      </c>
      <c r="F4" s="33"/>
    </row>
    <row r="5">
      <c r="A5" s="18" t="s">
        <v>18</v>
      </c>
      <c r="B5" s="19" t="s">
        <v>23</v>
      </c>
      <c r="C5" s="19" t="s">
        <v>24</v>
      </c>
      <c r="D5" s="59">
        <f>233400/5.4</f>
        <v>43222.22222</v>
      </c>
      <c r="E5" s="32" t="s">
        <v>25</v>
      </c>
      <c r="F5" s="33"/>
      <c r="H5" s="2" t="s">
        <v>48</v>
      </c>
    </row>
    <row r="6">
      <c r="A6" s="97" t="s">
        <v>168</v>
      </c>
      <c r="B6" s="24" t="s">
        <v>19</v>
      </c>
      <c r="C6" s="24" t="s">
        <v>39</v>
      </c>
      <c r="D6" s="107">
        <f>172000/5.4</f>
        <v>31851.85185</v>
      </c>
      <c r="E6" s="99" t="s">
        <v>27</v>
      </c>
      <c r="F6" s="26"/>
      <c r="G6" s="49" t="s">
        <v>51</v>
      </c>
      <c r="H6" s="52" t="str">
        <f>D26</f>
        <v/>
      </c>
      <c r="I6" s="53">
        <v>1.0</v>
      </c>
    </row>
    <row r="7">
      <c r="A7" s="36" t="s">
        <v>171</v>
      </c>
      <c r="B7" s="41" t="s">
        <v>3</v>
      </c>
      <c r="C7" s="1" t="s">
        <v>21</v>
      </c>
      <c r="D7" s="21">
        <v>22000.0</v>
      </c>
      <c r="E7" s="93" t="s">
        <v>27</v>
      </c>
      <c r="F7" s="26"/>
      <c r="G7" s="60"/>
      <c r="I7" s="61"/>
    </row>
    <row r="8">
      <c r="A8" s="97" t="s">
        <v>172</v>
      </c>
      <c r="B8" s="24" t="s">
        <v>19</v>
      </c>
      <c r="C8" s="24" t="s">
        <v>7</v>
      </c>
      <c r="D8" s="111">
        <f>43018/5.5</f>
        <v>7821.454545</v>
      </c>
      <c r="E8" s="99" t="s">
        <v>113</v>
      </c>
      <c r="F8" s="24"/>
      <c r="G8" s="60" t="s">
        <v>58</v>
      </c>
      <c r="H8" s="66">
        <f>SUM(D5,D8,D9,D14)</f>
        <v>56161.67677</v>
      </c>
      <c r="I8" s="61" t="str">
        <f>H8/H6</f>
        <v>#DIV/0!</v>
      </c>
    </row>
    <row r="9">
      <c r="A9" s="36" t="s">
        <v>175</v>
      </c>
      <c r="B9" s="41" t="s">
        <v>3</v>
      </c>
      <c r="C9" s="1" t="s">
        <v>7</v>
      </c>
      <c r="D9" s="37">
        <v>4500.0</v>
      </c>
      <c r="E9" s="93" t="s">
        <v>113</v>
      </c>
      <c r="F9" s="24"/>
      <c r="G9" s="60" t="s">
        <v>61</v>
      </c>
      <c r="I9" s="61" t="str">
        <f>H9/H6</f>
        <v>#DIV/0!</v>
      </c>
    </row>
    <row r="10">
      <c r="A10" s="18" t="s">
        <v>131</v>
      </c>
      <c r="B10" s="19" t="s">
        <v>19</v>
      </c>
      <c r="C10" s="19" t="s">
        <v>7</v>
      </c>
      <c r="D10" s="35">
        <v>4140.0</v>
      </c>
      <c r="E10" s="32" t="s">
        <v>113</v>
      </c>
      <c r="F10" s="31"/>
      <c r="G10" s="60" t="s">
        <v>64</v>
      </c>
      <c r="I10" s="61" t="str">
        <f>H10/H6</f>
        <v>#DIV/0!</v>
      </c>
    </row>
    <row r="11">
      <c r="A11" s="18" t="s">
        <v>111</v>
      </c>
      <c r="B11" s="19" t="s">
        <v>19</v>
      </c>
      <c r="C11" s="19" t="s">
        <v>39</v>
      </c>
      <c r="D11" s="35">
        <v>3000.0</v>
      </c>
      <c r="E11" s="32" t="s">
        <v>27</v>
      </c>
      <c r="F11" s="33"/>
    </row>
    <row r="12">
      <c r="A12" s="97" t="s">
        <v>176</v>
      </c>
      <c r="B12" s="24" t="s">
        <v>19</v>
      </c>
      <c r="C12" s="24" t="s">
        <v>7</v>
      </c>
      <c r="D12" s="108">
        <v>1224.0</v>
      </c>
      <c r="E12" s="93" t="s">
        <v>113</v>
      </c>
      <c r="F12" s="112"/>
      <c r="G12" s="1" t="s">
        <v>66</v>
      </c>
      <c r="H12" s="109">
        <f>D5</f>
        <v>43222.22222</v>
      </c>
    </row>
    <row r="13">
      <c r="A13" s="97" t="s">
        <v>122</v>
      </c>
      <c r="B13" s="24" t="s">
        <v>19</v>
      </c>
      <c r="C13" s="24" t="s">
        <v>7</v>
      </c>
      <c r="D13" s="111">
        <v>690.0</v>
      </c>
      <c r="E13" s="99" t="s">
        <v>113</v>
      </c>
      <c r="F13" s="24"/>
      <c r="G13" s="1" t="s">
        <v>70</v>
      </c>
      <c r="H13" s="109">
        <f>SUM(D8,D9,D14)</f>
        <v>12939.45455</v>
      </c>
    </row>
    <row r="14">
      <c r="A14" s="97" t="s">
        <v>180</v>
      </c>
      <c r="B14" s="24" t="s">
        <v>19</v>
      </c>
      <c r="C14" s="24" t="s">
        <v>7</v>
      </c>
      <c r="D14" s="111">
        <v>618.0</v>
      </c>
      <c r="E14" s="99" t="s">
        <v>113</v>
      </c>
      <c r="F14" s="24"/>
      <c r="G14" s="71" t="s">
        <v>71</v>
      </c>
      <c r="H14" s="113">
        <f>SUM(H12:H13)</f>
        <v>56161.67677</v>
      </c>
      <c r="I14" s="47"/>
    </row>
    <row r="15">
      <c r="A15" s="50"/>
      <c r="E15" s="51"/>
      <c r="F15" s="47"/>
    </row>
    <row r="16">
      <c r="A16" s="56"/>
      <c r="B16" s="58"/>
      <c r="C16" s="58"/>
      <c r="D16" s="103">
        <f>SUM(D2:D14)</f>
        <v>252030.4916</v>
      </c>
      <c r="E16" s="63"/>
      <c r="F16" s="26"/>
    </row>
    <row r="17">
      <c r="A17" s="48"/>
      <c r="B17" s="48"/>
      <c r="C17" s="48"/>
      <c r="D17" s="115"/>
      <c r="E17" s="48"/>
    </row>
  </sheetData>
  <mergeCells count="1">
    <mergeCell ref="A1:E1"/>
  </mergeCells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3" max="3" width="17.0"/>
  </cols>
  <sheetData>
    <row r="1">
      <c r="A1" s="8" t="s">
        <v>181</v>
      </c>
      <c r="B1" s="9"/>
      <c r="C1" s="9"/>
      <c r="D1" s="9"/>
      <c r="E1" s="10"/>
    </row>
    <row r="2">
      <c r="A2" s="114" t="s">
        <v>11</v>
      </c>
      <c r="B2" s="116" t="s">
        <v>12</v>
      </c>
      <c r="C2" s="116" t="s">
        <v>13</v>
      </c>
      <c r="D2" s="116" t="s">
        <v>14</v>
      </c>
      <c r="E2" s="117" t="s">
        <v>15</v>
      </c>
    </row>
    <row r="3">
      <c r="A3" s="75" t="s">
        <v>182</v>
      </c>
      <c r="B3" s="48" t="s">
        <v>19</v>
      </c>
      <c r="C3" s="48" t="s">
        <v>39</v>
      </c>
      <c r="D3" s="70">
        <f>1587000/5.4</f>
        <v>293888.8889</v>
      </c>
      <c r="E3" s="118" t="s">
        <v>27</v>
      </c>
      <c r="F3" s="119"/>
      <c r="G3" s="119"/>
      <c r="H3" s="119"/>
      <c r="I3" s="119"/>
      <c r="J3" s="119"/>
      <c r="K3" s="119"/>
      <c r="L3" s="119"/>
      <c r="M3" s="119"/>
      <c r="N3" s="119"/>
      <c r="O3" s="119"/>
    </row>
    <row r="4">
      <c r="A4" s="120" t="s">
        <v>18</v>
      </c>
      <c r="B4" s="121" t="s">
        <v>23</v>
      </c>
      <c r="C4" s="121" t="s">
        <v>24</v>
      </c>
      <c r="D4" s="68">
        <f>1015000/5.4</f>
        <v>187962.963</v>
      </c>
      <c r="E4" s="122" t="s">
        <v>25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</row>
    <row r="5">
      <c r="A5" s="75" t="s">
        <v>183</v>
      </c>
      <c r="B5" s="48" t="s">
        <v>3</v>
      </c>
      <c r="C5" s="48" t="s">
        <v>39</v>
      </c>
      <c r="D5" s="42">
        <f>323000/5.4</f>
        <v>59814.81481</v>
      </c>
      <c r="E5" s="118" t="s">
        <v>27</v>
      </c>
      <c r="F5" s="48"/>
      <c r="K5" s="119"/>
      <c r="L5" s="119"/>
      <c r="M5" s="119"/>
      <c r="N5" s="119"/>
      <c r="O5" s="119"/>
    </row>
    <row r="6">
      <c r="A6" s="120" t="s">
        <v>184</v>
      </c>
      <c r="B6" s="121" t="s">
        <v>23</v>
      </c>
      <c r="C6" s="121" t="s">
        <v>24</v>
      </c>
      <c r="D6" s="70">
        <v>25000.0</v>
      </c>
      <c r="E6" s="122" t="s">
        <v>33</v>
      </c>
      <c r="F6" s="124"/>
      <c r="H6" s="125" t="s">
        <v>48</v>
      </c>
      <c r="K6" s="123"/>
      <c r="L6" s="123"/>
      <c r="M6" s="123"/>
      <c r="N6" s="123"/>
      <c r="O6" s="123"/>
    </row>
    <row r="7">
      <c r="A7" s="75" t="s">
        <v>185</v>
      </c>
      <c r="B7" s="48" t="s">
        <v>3</v>
      </c>
      <c r="C7" s="48" t="s">
        <v>39</v>
      </c>
      <c r="D7" s="70">
        <f>79000/5.4</f>
        <v>14629.62963</v>
      </c>
      <c r="E7" s="118" t="s">
        <v>27</v>
      </c>
      <c r="F7" s="48"/>
      <c r="G7" s="126" t="s">
        <v>51</v>
      </c>
      <c r="H7" s="127" t="str">
        <f>D21</f>
        <v/>
      </c>
      <c r="I7" s="128">
        <v>1.0</v>
      </c>
      <c r="K7" s="119"/>
      <c r="L7" s="119"/>
      <c r="M7" s="119"/>
      <c r="N7" s="119"/>
      <c r="O7" s="119"/>
    </row>
    <row r="8">
      <c r="A8" s="120" t="s">
        <v>72</v>
      </c>
      <c r="B8" s="121" t="s">
        <v>3</v>
      </c>
      <c r="C8" s="121" t="s">
        <v>39</v>
      </c>
      <c r="D8" s="68">
        <f>55000/5.4</f>
        <v>10185.18519</v>
      </c>
      <c r="E8" s="122" t="s">
        <v>27</v>
      </c>
      <c r="F8" s="123"/>
      <c r="G8" s="129" t="s">
        <v>58</v>
      </c>
      <c r="H8" s="130">
        <f>SUM(D10,D15,D16)</f>
        <v>7232.962963</v>
      </c>
      <c r="I8" s="131" t="str">
        <f>H8/H7</f>
        <v>#DIV/0!</v>
      </c>
      <c r="K8" s="123"/>
      <c r="L8" s="123"/>
      <c r="M8" s="123"/>
      <c r="N8" s="123"/>
      <c r="O8" s="123"/>
    </row>
    <row r="9">
      <c r="A9" s="75" t="s">
        <v>186</v>
      </c>
      <c r="B9" s="48" t="s">
        <v>23</v>
      </c>
      <c r="C9" s="48" t="s">
        <v>62</v>
      </c>
      <c r="D9" s="68">
        <f>43000/5.4</f>
        <v>7962.962963</v>
      </c>
      <c r="E9" s="118" t="s">
        <v>27</v>
      </c>
      <c r="F9" s="48"/>
      <c r="G9" s="132" t="s">
        <v>61</v>
      </c>
      <c r="I9" s="133" t="str">
        <f>H9/H7</f>
        <v>#DIV/0!</v>
      </c>
      <c r="K9" s="119"/>
      <c r="L9" s="119"/>
      <c r="M9" s="119"/>
      <c r="N9" s="119"/>
      <c r="O9" s="119"/>
    </row>
    <row r="10">
      <c r="A10" s="75" t="s">
        <v>187</v>
      </c>
      <c r="B10" s="48" t="s">
        <v>3</v>
      </c>
      <c r="C10" s="48" t="s">
        <v>7</v>
      </c>
      <c r="D10" s="55">
        <v>5000.0</v>
      </c>
      <c r="E10" s="122" t="s">
        <v>113</v>
      </c>
      <c r="F10" s="121"/>
      <c r="G10" s="129" t="s">
        <v>64</v>
      </c>
      <c r="I10" s="131" t="str">
        <f>H10/H7</f>
        <v>#DIV/0!</v>
      </c>
      <c r="K10" s="123"/>
      <c r="L10" s="123"/>
      <c r="M10" s="123"/>
      <c r="N10" s="123"/>
      <c r="O10" s="123"/>
    </row>
    <row r="11">
      <c r="A11" s="75" t="s">
        <v>188</v>
      </c>
      <c r="B11" s="48" t="s">
        <v>23</v>
      </c>
      <c r="C11" s="48" t="s">
        <v>24</v>
      </c>
      <c r="D11" s="70">
        <v>3140.75</v>
      </c>
      <c r="E11" s="118" t="s">
        <v>27</v>
      </c>
      <c r="F11" s="119"/>
      <c r="K11" s="119"/>
      <c r="L11" s="119"/>
      <c r="M11" s="119"/>
      <c r="N11" s="119"/>
      <c r="O11" s="119"/>
    </row>
    <row r="12">
      <c r="A12" s="120" t="s">
        <v>118</v>
      </c>
      <c r="B12" s="48" t="s">
        <v>23</v>
      </c>
      <c r="C12" s="48" t="s">
        <v>24</v>
      </c>
      <c r="D12" s="68">
        <v>3140.75</v>
      </c>
      <c r="E12" s="118" t="s">
        <v>27</v>
      </c>
      <c r="F12" s="123"/>
      <c r="G12" s="121" t="s">
        <v>66</v>
      </c>
      <c r="H12" s="134"/>
      <c r="K12" s="123"/>
      <c r="L12" s="123"/>
      <c r="M12" s="123"/>
      <c r="N12" s="123"/>
      <c r="O12" s="123"/>
    </row>
    <row r="13">
      <c r="A13" s="75" t="s">
        <v>111</v>
      </c>
      <c r="B13" s="48" t="s">
        <v>19</v>
      </c>
      <c r="C13" s="48" t="s">
        <v>39</v>
      </c>
      <c r="D13" s="68">
        <v>3000.0</v>
      </c>
      <c r="E13" s="118" t="s">
        <v>27</v>
      </c>
      <c r="F13" s="119"/>
      <c r="G13" s="48" t="s">
        <v>70</v>
      </c>
      <c r="H13" s="135"/>
      <c r="K13" s="119"/>
      <c r="L13" s="119"/>
      <c r="M13" s="119"/>
      <c r="N13" s="119"/>
      <c r="O13" s="119"/>
    </row>
    <row r="14">
      <c r="A14" s="75" t="s">
        <v>189</v>
      </c>
      <c r="B14" s="48" t="s">
        <v>19</v>
      </c>
      <c r="C14" s="48" t="s">
        <v>39</v>
      </c>
      <c r="D14" s="70">
        <f>9667/5.4</f>
        <v>1790.185185</v>
      </c>
      <c r="E14" s="122" t="s">
        <v>27</v>
      </c>
      <c r="F14" s="123"/>
      <c r="G14" s="121" t="s">
        <v>71</v>
      </c>
      <c r="H14" s="136"/>
      <c r="I14" s="137"/>
      <c r="K14" s="123"/>
      <c r="L14" s="123"/>
      <c r="M14" s="123"/>
      <c r="N14" s="123"/>
      <c r="O14" s="123"/>
    </row>
    <row r="15">
      <c r="A15" s="48" t="s">
        <v>190</v>
      </c>
      <c r="B15" s="48" t="s">
        <v>19</v>
      </c>
      <c r="C15" s="48" t="s">
        <v>7</v>
      </c>
      <c r="D15" s="55">
        <v>1035.0</v>
      </c>
      <c r="E15" s="118" t="s">
        <v>113</v>
      </c>
      <c r="F15" s="48"/>
    </row>
    <row r="16">
      <c r="A16" s="48" t="s">
        <v>191</v>
      </c>
      <c r="B16" s="48" t="s">
        <v>3</v>
      </c>
      <c r="C16" s="48" t="s">
        <v>7</v>
      </c>
      <c r="D16" s="138">
        <f>6469/5.4</f>
        <v>1197.962963</v>
      </c>
      <c r="E16" s="122" t="s">
        <v>113</v>
      </c>
      <c r="F16" s="121"/>
      <c r="G16" s="123"/>
      <c r="H16" s="123"/>
      <c r="I16" s="123"/>
      <c r="J16" s="123"/>
      <c r="K16" s="123"/>
      <c r="L16" s="123"/>
      <c r="M16" s="123"/>
      <c r="N16" s="123"/>
      <c r="O16" s="123"/>
    </row>
    <row r="17">
      <c r="A17" s="139" t="s">
        <v>93</v>
      </c>
      <c r="B17" s="140"/>
      <c r="C17" s="140"/>
      <c r="D17" s="141">
        <f>SUM(D4:D12)</f>
        <v>316837.0556</v>
      </c>
      <c r="E17" s="142"/>
      <c r="F17" s="119"/>
      <c r="G17" s="143" t="s">
        <v>92</v>
      </c>
      <c r="H17" s="144" t="s">
        <v>193</v>
      </c>
      <c r="I17" s="119"/>
      <c r="J17" s="119"/>
      <c r="K17" s="119"/>
      <c r="L17" s="119"/>
      <c r="M17" s="119"/>
      <c r="N17" s="119"/>
      <c r="O17" s="119"/>
    </row>
    <row r="18">
      <c r="A18" s="120"/>
      <c r="D18" s="38"/>
      <c r="E18" s="121"/>
      <c r="F18" s="123"/>
      <c r="G18" s="145" t="s">
        <v>7</v>
      </c>
      <c r="H18" s="146">
        <f>SUM(D10,D15,D16)</f>
        <v>7232.962963</v>
      </c>
      <c r="I18" s="123"/>
      <c r="J18" s="123"/>
      <c r="K18" s="123"/>
      <c r="L18" s="123"/>
      <c r="M18" s="123"/>
      <c r="N18" s="123"/>
      <c r="O18" s="123"/>
    </row>
    <row r="19">
      <c r="A19" s="75"/>
      <c r="D19" s="38"/>
      <c r="E19" s="48"/>
      <c r="F19" s="119"/>
      <c r="G19" s="119"/>
      <c r="H19" s="119"/>
      <c r="I19" s="119"/>
      <c r="J19" s="119"/>
      <c r="K19" s="119"/>
      <c r="L19" s="119"/>
      <c r="M19" s="119"/>
      <c r="N19" s="119"/>
      <c r="O19" s="119"/>
    </row>
    <row r="20">
      <c r="A20" s="120"/>
      <c r="D20" s="38"/>
      <c r="E20" s="121"/>
      <c r="F20" s="123"/>
      <c r="G20" s="123"/>
      <c r="H20" s="123"/>
      <c r="I20" s="123"/>
      <c r="J20" s="123"/>
      <c r="K20" s="123"/>
      <c r="L20" s="123"/>
      <c r="M20" s="123"/>
      <c r="N20" s="123"/>
      <c r="O20" s="123"/>
    </row>
    <row r="21">
      <c r="A21" s="75"/>
      <c r="D21" s="38"/>
      <c r="E21" s="48"/>
      <c r="F21" s="119"/>
      <c r="G21" s="119"/>
      <c r="H21" s="119"/>
      <c r="I21" s="119"/>
      <c r="J21" s="119"/>
      <c r="K21" s="119"/>
      <c r="L21" s="119"/>
      <c r="M21" s="119"/>
      <c r="N21" s="119"/>
      <c r="O21" s="119"/>
    </row>
    <row r="22">
      <c r="D22" s="121"/>
      <c r="E22" s="121"/>
      <c r="F22" s="123"/>
      <c r="G22" s="123"/>
      <c r="H22" s="123"/>
      <c r="I22" s="123"/>
      <c r="J22" s="123"/>
      <c r="K22" s="123"/>
      <c r="L22" s="123"/>
      <c r="M22" s="123"/>
      <c r="N22" s="123"/>
      <c r="O22" s="123"/>
    </row>
    <row r="23">
      <c r="A23" s="75"/>
      <c r="D23" s="38"/>
      <c r="E23" s="48"/>
      <c r="F23" s="119"/>
      <c r="G23" s="119"/>
      <c r="H23" s="119"/>
      <c r="I23" s="119"/>
      <c r="J23" s="119"/>
      <c r="K23" s="119"/>
      <c r="L23" s="119"/>
      <c r="M23" s="119"/>
      <c r="N23" s="119"/>
      <c r="O23" s="119"/>
    </row>
    <row r="24">
      <c r="D24" s="121"/>
      <c r="E24" s="121"/>
      <c r="F24" s="123"/>
      <c r="G24" s="123"/>
      <c r="H24" s="123"/>
      <c r="I24" s="123"/>
      <c r="J24" s="123"/>
      <c r="K24" s="123"/>
      <c r="L24" s="123"/>
      <c r="M24" s="123"/>
      <c r="N24" s="123"/>
      <c r="O24" s="123"/>
    </row>
    <row r="25">
      <c r="F25" s="119"/>
      <c r="G25" s="119"/>
      <c r="H25" s="119"/>
      <c r="I25" s="119"/>
      <c r="J25" s="119"/>
      <c r="K25" s="119"/>
      <c r="L25" s="119"/>
      <c r="M25" s="119"/>
      <c r="N25" s="119"/>
      <c r="O25" s="119"/>
    </row>
    <row r="26">
      <c r="F26" s="123"/>
      <c r="G26" s="123"/>
      <c r="H26" s="123"/>
      <c r="I26" s="123"/>
      <c r="J26" s="123"/>
      <c r="K26" s="123"/>
      <c r="L26" s="123"/>
      <c r="M26" s="123"/>
      <c r="N26" s="123"/>
      <c r="O26" s="123"/>
    </row>
  </sheetData>
  <mergeCells count="2">
    <mergeCell ref="A1:E1"/>
    <mergeCell ref="A17:C17"/>
  </mergeCell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6" max="6" width="25.88"/>
  </cols>
  <sheetData>
    <row r="1">
      <c r="A1" s="8" t="s">
        <v>192</v>
      </c>
      <c r="B1" s="9"/>
      <c r="C1" s="9"/>
      <c r="D1" s="9"/>
      <c r="E1" s="10"/>
    </row>
    <row r="2">
      <c r="A2" s="114" t="s">
        <v>11</v>
      </c>
      <c r="B2" s="116" t="s">
        <v>12</v>
      </c>
      <c r="C2" s="116" t="s">
        <v>13</v>
      </c>
      <c r="D2" s="116" t="s">
        <v>14</v>
      </c>
      <c r="E2" s="117" t="s">
        <v>15</v>
      </c>
    </row>
    <row r="3">
      <c r="A3" s="75" t="s">
        <v>194</v>
      </c>
      <c r="B3" s="48" t="s">
        <v>23</v>
      </c>
      <c r="C3" s="48" t="s">
        <v>42</v>
      </c>
      <c r="D3" s="55">
        <f>347000/5.4</f>
        <v>64259.25926</v>
      </c>
      <c r="E3" s="118" t="s">
        <v>40</v>
      </c>
      <c r="F3" s="119"/>
      <c r="G3" s="119"/>
      <c r="H3" s="119"/>
      <c r="I3" s="119"/>
      <c r="J3" s="119"/>
      <c r="K3" s="119"/>
      <c r="L3" s="119"/>
      <c r="M3" s="119"/>
      <c r="N3" s="119"/>
      <c r="O3" s="119"/>
    </row>
    <row r="4">
      <c r="A4" s="121" t="s">
        <v>195</v>
      </c>
      <c r="B4" s="121" t="s">
        <v>19</v>
      </c>
      <c r="C4" s="121" t="s">
        <v>21</v>
      </c>
      <c r="D4" s="70">
        <v>36665.81</v>
      </c>
      <c r="E4" s="122" t="s">
        <v>27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</row>
    <row r="5">
      <c r="A5" s="75" t="s">
        <v>196</v>
      </c>
      <c r="B5" s="48" t="s">
        <v>19</v>
      </c>
      <c r="C5" s="48" t="s">
        <v>39</v>
      </c>
      <c r="D5" s="70">
        <f>179704/5.4</f>
        <v>33278.51852</v>
      </c>
      <c r="E5" s="118" t="s">
        <v>27</v>
      </c>
      <c r="F5" s="48"/>
      <c r="K5" s="119"/>
      <c r="L5" s="119"/>
      <c r="M5" s="119"/>
      <c r="N5" s="119"/>
      <c r="O5" s="119"/>
    </row>
    <row r="6">
      <c r="A6" s="120" t="s">
        <v>197</v>
      </c>
      <c r="B6" s="48" t="s">
        <v>3</v>
      </c>
      <c r="C6" s="48" t="s">
        <v>7</v>
      </c>
      <c r="D6" s="55">
        <v>27491.64</v>
      </c>
      <c r="E6" s="122" t="s">
        <v>113</v>
      </c>
      <c r="F6" s="121"/>
      <c r="H6" s="125" t="s">
        <v>48</v>
      </c>
      <c r="K6" s="123"/>
      <c r="L6" s="123"/>
      <c r="M6" s="123"/>
      <c r="N6" s="123"/>
      <c r="O6" s="123"/>
    </row>
    <row r="7">
      <c r="A7" s="75" t="s">
        <v>184</v>
      </c>
      <c r="B7" s="48" t="s">
        <v>23</v>
      </c>
      <c r="C7" s="48" t="s">
        <v>24</v>
      </c>
      <c r="D7" s="68">
        <v>25000.0</v>
      </c>
      <c r="E7" s="118" t="s">
        <v>33</v>
      </c>
      <c r="F7" s="48"/>
      <c r="G7" s="126" t="s">
        <v>51</v>
      </c>
      <c r="H7" s="127">
        <f>D27</f>
        <v>312332.4315</v>
      </c>
      <c r="I7" s="128">
        <v>1.0</v>
      </c>
      <c r="K7" s="119"/>
      <c r="L7" s="119"/>
      <c r="M7" s="119"/>
      <c r="N7" s="119"/>
      <c r="O7" s="119"/>
    </row>
    <row r="8">
      <c r="A8" s="75" t="s">
        <v>198</v>
      </c>
      <c r="B8" s="48" t="s">
        <v>3</v>
      </c>
      <c r="C8" s="48" t="s">
        <v>21</v>
      </c>
      <c r="D8" s="55">
        <v>20599.0</v>
      </c>
      <c r="E8" s="122" t="s">
        <v>27</v>
      </c>
      <c r="F8" s="123"/>
      <c r="G8" s="129"/>
      <c r="I8" s="131"/>
      <c r="K8" s="123"/>
      <c r="L8" s="123"/>
      <c r="M8" s="123"/>
      <c r="N8" s="123"/>
      <c r="O8" s="123"/>
    </row>
    <row r="9">
      <c r="A9" s="75" t="s">
        <v>200</v>
      </c>
      <c r="B9" s="48" t="s">
        <v>19</v>
      </c>
      <c r="C9" s="48" t="s">
        <v>21</v>
      </c>
      <c r="D9" s="70">
        <v>22000.0</v>
      </c>
      <c r="E9" s="118" t="s">
        <v>27</v>
      </c>
      <c r="F9" s="119"/>
      <c r="G9" s="132" t="s">
        <v>58</v>
      </c>
      <c r="H9" s="147">
        <f>SUM(D3,D6,D8,D10,D12,D14,D20,D22,D23)</f>
        <v>152929.3807</v>
      </c>
      <c r="I9" s="133">
        <f>H9/H7</f>
        <v>0.4896365709</v>
      </c>
      <c r="K9" s="119"/>
      <c r="L9" s="119"/>
      <c r="M9" s="119"/>
      <c r="N9" s="119"/>
      <c r="O9" s="119"/>
    </row>
    <row r="10">
      <c r="A10" s="121" t="s">
        <v>203</v>
      </c>
      <c r="B10" s="121" t="s">
        <v>23</v>
      </c>
      <c r="C10" s="121" t="s">
        <v>42</v>
      </c>
      <c r="D10" s="55">
        <v>16333.0</v>
      </c>
      <c r="E10" s="121" t="s">
        <v>27</v>
      </c>
      <c r="F10" s="121"/>
      <c r="G10" s="129" t="s">
        <v>61</v>
      </c>
      <c r="I10" s="131">
        <f>H10/H7</f>
        <v>0</v>
      </c>
      <c r="K10" s="123"/>
      <c r="L10" s="123"/>
      <c r="M10" s="123"/>
      <c r="N10" s="123"/>
      <c r="O10" s="123"/>
    </row>
    <row r="11">
      <c r="A11" s="48" t="s">
        <v>17</v>
      </c>
      <c r="B11" s="48" t="s">
        <v>23</v>
      </c>
      <c r="C11" s="48" t="s">
        <v>74</v>
      </c>
      <c r="D11" s="70">
        <f>66690/5.4</f>
        <v>12350</v>
      </c>
      <c r="E11" s="48" t="s">
        <v>27</v>
      </c>
      <c r="F11" s="119"/>
      <c r="G11" s="132" t="s">
        <v>64</v>
      </c>
      <c r="I11" s="133">
        <f>H11/H7</f>
        <v>0</v>
      </c>
      <c r="K11" s="119"/>
      <c r="L11" s="119"/>
      <c r="M11" s="119"/>
      <c r="N11" s="119"/>
      <c r="O11" s="119"/>
    </row>
    <row r="12">
      <c r="A12" s="120" t="s">
        <v>111</v>
      </c>
      <c r="B12" s="121" t="s">
        <v>19</v>
      </c>
      <c r="C12" s="121" t="s">
        <v>39</v>
      </c>
      <c r="D12" s="55">
        <f>53500/5.4</f>
        <v>9907.407407</v>
      </c>
      <c r="E12" s="122" t="s">
        <v>27</v>
      </c>
      <c r="F12" s="123"/>
      <c r="K12" s="123"/>
      <c r="L12" s="123"/>
      <c r="M12" s="123"/>
      <c r="N12" s="123"/>
      <c r="O12" s="123"/>
    </row>
    <row r="13">
      <c r="A13" s="75" t="s">
        <v>187</v>
      </c>
      <c r="B13" s="48" t="s">
        <v>3</v>
      </c>
      <c r="C13" s="48" t="s">
        <v>7</v>
      </c>
      <c r="D13" s="55">
        <f>53400/5.4</f>
        <v>9888.888889</v>
      </c>
      <c r="E13" s="118" t="s">
        <v>113</v>
      </c>
      <c r="F13" s="48"/>
      <c r="G13" s="48" t="s">
        <v>66</v>
      </c>
      <c r="H13" s="135">
        <f>SUM(D6,D8,D12,D14,D20,D22,D23)</f>
        <v>72337.12148</v>
      </c>
      <c r="K13" s="119"/>
      <c r="L13" s="119"/>
      <c r="M13" s="119"/>
      <c r="N13" s="119"/>
      <c r="O13" s="119"/>
    </row>
    <row r="14">
      <c r="A14" s="48" t="s">
        <v>177</v>
      </c>
      <c r="B14" s="48" t="s">
        <v>3</v>
      </c>
      <c r="C14" s="48" t="s">
        <v>7</v>
      </c>
      <c r="D14" s="55">
        <f>49925/5.4</f>
        <v>9245.37037</v>
      </c>
      <c r="E14" s="122" t="s">
        <v>113</v>
      </c>
      <c r="F14" s="121"/>
      <c r="G14" s="121" t="s">
        <v>70</v>
      </c>
      <c r="H14" s="134">
        <f>SUM(D3,D10)</f>
        <v>80592.25926</v>
      </c>
      <c r="K14" s="123"/>
      <c r="L14" s="123"/>
      <c r="M14" s="123"/>
      <c r="N14" s="123"/>
      <c r="O14" s="123"/>
    </row>
    <row r="15">
      <c r="A15" s="75" t="s">
        <v>208</v>
      </c>
      <c r="B15" s="48" t="s">
        <v>19</v>
      </c>
      <c r="C15" s="48" t="s">
        <v>82</v>
      </c>
      <c r="D15" s="68">
        <f>31208/5.4</f>
        <v>5779.259259</v>
      </c>
      <c r="E15" s="118" t="s">
        <v>113</v>
      </c>
      <c r="F15" s="48"/>
      <c r="G15" s="48" t="s">
        <v>71</v>
      </c>
      <c r="H15" s="149"/>
      <c r="I15" s="150"/>
      <c r="K15" s="119"/>
      <c r="L15" s="119"/>
      <c r="M15" s="119"/>
      <c r="N15" s="119"/>
      <c r="O15" s="119"/>
    </row>
    <row r="16">
      <c r="A16" s="120" t="s">
        <v>211</v>
      </c>
      <c r="B16" s="121" t="s">
        <v>19</v>
      </c>
      <c r="C16" s="121" t="s">
        <v>82</v>
      </c>
      <c r="D16" s="70">
        <f>18295/5.4</f>
        <v>3387.962963</v>
      </c>
      <c r="E16" s="122" t="s">
        <v>113</v>
      </c>
      <c r="F16" s="123"/>
    </row>
    <row r="17">
      <c r="A17" s="75" t="s">
        <v>188</v>
      </c>
      <c r="B17" s="48" t="s">
        <v>23</v>
      </c>
      <c r="C17" s="48" t="s">
        <v>24</v>
      </c>
      <c r="D17" s="70">
        <v>3140.75</v>
      </c>
      <c r="E17" s="118" t="s">
        <v>27</v>
      </c>
      <c r="F17" s="119"/>
      <c r="G17" s="119"/>
      <c r="H17" s="119"/>
      <c r="I17" s="119"/>
      <c r="J17" s="119"/>
      <c r="K17" s="119"/>
      <c r="L17" s="119"/>
      <c r="M17" s="119"/>
      <c r="N17" s="119"/>
      <c r="O17" s="119"/>
    </row>
    <row r="18">
      <c r="A18" s="120" t="s">
        <v>118</v>
      </c>
      <c r="B18" s="48" t="s">
        <v>23</v>
      </c>
      <c r="C18" s="48" t="s">
        <v>24</v>
      </c>
      <c r="D18" s="68">
        <v>3140.75</v>
      </c>
      <c r="E18" s="118" t="s">
        <v>27</v>
      </c>
      <c r="F18" s="123"/>
      <c r="G18" s="151" t="s">
        <v>91</v>
      </c>
      <c r="H18" s="152" t="s">
        <v>193</v>
      </c>
      <c r="I18" s="123"/>
      <c r="J18" s="123"/>
      <c r="K18" s="123"/>
      <c r="L18" s="123"/>
      <c r="M18" s="123"/>
      <c r="N18" s="123"/>
      <c r="O18" s="123"/>
    </row>
    <row r="19">
      <c r="A19" s="75" t="s">
        <v>212</v>
      </c>
      <c r="B19" s="48" t="s">
        <v>3</v>
      </c>
      <c r="C19" s="48" t="s">
        <v>7</v>
      </c>
      <c r="D19" s="70">
        <f>16097/5.4</f>
        <v>2980.925926</v>
      </c>
      <c r="E19" s="118" t="s">
        <v>113</v>
      </c>
      <c r="F19" s="119"/>
      <c r="G19" s="153" t="s">
        <v>24</v>
      </c>
      <c r="H19" s="154">
        <f>D3</f>
        <v>64259.25926</v>
      </c>
      <c r="I19" s="119"/>
      <c r="J19" s="119"/>
      <c r="K19" s="119"/>
      <c r="L19" s="119"/>
      <c r="M19" s="119"/>
      <c r="N19" s="119"/>
      <c r="O19" s="119"/>
    </row>
    <row r="20">
      <c r="A20" s="48" t="s">
        <v>69</v>
      </c>
      <c r="B20" s="48" t="s">
        <v>3</v>
      </c>
      <c r="C20" s="48" t="s">
        <v>39</v>
      </c>
      <c r="D20" s="55">
        <f>12608/5.4</f>
        <v>2334.814815</v>
      </c>
      <c r="E20" s="122" t="s">
        <v>27</v>
      </c>
      <c r="F20" s="123"/>
      <c r="G20" s="145" t="s">
        <v>7</v>
      </c>
      <c r="H20" s="146">
        <f>SUM(D6,D14,D22,D23)</f>
        <v>39495.89926</v>
      </c>
      <c r="I20" s="123"/>
      <c r="J20" s="123"/>
      <c r="K20" s="123"/>
      <c r="L20" s="123"/>
      <c r="M20" s="123"/>
      <c r="N20" s="123"/>
      <c r="O20" s="123"/>
    </row>
    <row r="21">
      <c r="A21" s="48" t="s">
        <v>189</v>
      </c>
      <c r="B21" s="48" t="s">
        <v>19</v>
      </c>
      <c r="C21" s="48" t="s">
        <v>39</v>
      </c>
      <c r="D21" s="70">
        <f>9667/5.4</f>
        <v>1790.185185</v>
      </c>
      <c r="E21" s="118" t="s">
        <v>27</v>
      </c>
      <c r="F21" s="119"/>
      <c r="G21" s="153" t="s">
        <v>39</v>
      </c>
      <c r="H21" s="155">
        <f>SUM(D20,D12)</f>
        <v>12242.22222</v>
      </c>
      <c r="I21" s="119"/>
      <c r="J21" s="119"/>
      <c r="K21" s="119"/>
      <c r="L21" s="119"/>
      <c r="M21" s="119"/>
      <c r="N21" s="119"/>
      <c r="O21" s="119"/>
    </row>
    <row r="22">
      <c r="A22" s="48" t="s">
        <v>214</v>
      </c>
      <c r="B22" s="48" t="s">
        <v>3</v>
      </c>
      <c r="C22" s="48" t="s">
        <v>7</v>
      </c>
      <c r="D22" s="55">
        <v>1750.0</v>
      </c>
      <c r="E22" s="122" t="s">
        <v>113</v>
      </c>
      <c r="F22" s="121"/>
      <c r="G22" s="145" t="s">
        <v>216</v>
      </c>
      <c r="H22" s="146">
        <f>D8</f>
        <v>20599</v>
      </c>
      <c r="I22" s="123"/>
      <c r="J22" s="123"/>
      <c r="K22" s="123"/>
      <c r="L22" s="123"/>
      <c r="M22" s="123"/>
      <c r="N22" s="123"/>
      <c r="O22" s="123"/>
    </row>
    <row r="23">
      <c r="A23" s="48" t="s">
        <v>217</v>
      </c>
      <c r="B23" s="48" t="s">
        <v>3</v>
      </c>
      <c r="C23" s="48" t="s">
        <v>7</v>
      </c>
      <c r="D23" s="55">
        <f>5448/5.4</f>
        <v>1008.888889</v>
      </c>
      <c r="E23" s="118" t="s">
        <v>113</v>
      </c>
      <c r="F23" s="48"/>
      <c r="G23" s="153" t="s">
        <v>42</v>
      </c>
      <c r="H23" s="155">
        <f>D10+D3</f>
        <v>80592.25926</v>
      </c>
      <c r="I23" s="119"/>
      <c r="J23" s="119"/>
      <c r="K23" s="119"/>
      <c r="L23" s="119"/>
      <c r="M23" s="119"/>
      <c r="N23" s="119"/>
      <c r="O23" s="119"/>
    </row>
    <row r="24">
      <c r="A24" s="137"/>
      <c r="B24" s="121"/>
      <c r="C24" s="121"/>
      <c r="E24" s="121"/>
      <c r="F24" s="123"/>
      <c r="G24" s="123"/>
      <c r="H24" s="123"/>
      <c r="I24" s="123"/>
      <c r="J24" s="123"/>
      <c r="K24" s="123"/>
      <c r="L24" s="123"/>
      <c r="M24" s="123"/>
      <c r="N24" s="123"/>
      <c r="O24" s="123"/>
    </row>
    <row r="25">
      <c r="A25" s="157"/>
      <c r="B25" s="157"/>
      <c r="C25" s="157"/>
      <c r="D25" s="157"/>
      <c r="E25" s="158"/>
      <c r="F25" s="119"/>
      <c r="G25" s="119"/>
      <c r="H25" s="119"/>
      <c r="I25" s="119"/>
      <c r="J25" s="119"/>
      <c r="K25" s="119"/>
      <c r="L25" s="119"/>
      <c r="M25" s="119"/>
      <c r="N25" s="119"/>
      <c r="O25" s="119"/>
    </row>
    <row r="26">
      <c r="E26" s="159"/>
      <c r="F26" s="123"/>
      <c r="G26" s="123"/>
      <c r="H26" s="123"/>
      <c r="I26" s="123"/>
      <c r="J26" s="123"/>
      <c r="K26" s="123"/>
      <c r="L26" s="123"/>
      <c r="M26" s="123"/>
      <c r="N26" s="123"/>
      <c r="O26" s="123"/>
    </row>
    <row r="27">
      <c r="A27" s="139" t="s">
        <v>93</v>
      </c>
      <c r="B27" s="140"/>
      <c r="C27" s="140"/>
      <c r="D27" s="141">
        <f>SUM(D3:D25)</f>
        <v>312332.4315</v>
      </c>
      <c r="E27" s="142"/>
      <c r="F27" s="119"/>
      <c r="G27" s="119"/>
      <c r="H27" s="119"/>
      <c r="I27" s="119"/>
      <c r="J27" s="119"/>
      <c r="K27" s="119"/>
      <c r="L27" s="119"/>
      <c r="M27" s="119"/>
      <c r="N27" s="119"/>
      <c r="O27" s="119"/>
    </row>
    <row r="30">
      <c r="B30" s="48"/>
      <c r="C30" s="48"/>
      <c r="D30" s="38"/>
      <c r="E30" s="57"/>
    </row>
    <row r="31">
      <c r="B31" s="48"/>
      <c r="D31" s="38"/>
      <c r="E31" s="57"/>
    </row>
  </sheetData>
  <mergeCells count="2">
    <mergeCell ref="A1:E1"/>
    <mergeCell ref="A27:C27"/>
  </mergeCell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6" max="6" width="25.0"/>
  </cols>
  <sheetData>
    <row r="1">
      <c r="A1" s="8" t="s">
        <v>199</v>
      </c>
      <c r="B1" s="9"/>
      <c r="C1" s="9"/>
      <c r="D1" s="9"/>
      <c r="E1" s="10"/>
    </row>
    <row r="2">
      <c r="A2" s="114" t="s">
        <v>11</v>
      </c>
      <c r="B2" s="116" t="s">
        <v>12</v>
      </c>
      <c r="C2" s="116" t="s">
        <v>13</v>
      </c>
      <c r="D2" s="116" t="s">
        <v>14</v>
      </c>
      <c r="E2" s="117" t="s">
        <v>15</v>
      </c>
    </row>
    <row r="3">
      <c r="A3" s="75" t="s">
        <v>201</v>
      </c>
      <c r="B3" s="48" t="s">
        <v>23</v>
      </c>
      <c r="C3" s="48" t="s">
        <v>24</v>
      </c>
      <c r="D3" s="37">
        <f>373676.65/5.4</f>
        <v>69199.37963</v>
      </c>
      <c r="E3" s="118" t="s">
        <v>202</v>
      </c>
      <c r="F3" s="119"/>
      <c r="G3" s="119"/>
      <c r="H3" s="119"/>
      <c r="I3" s="119"/>
      <c r="J3" s="119"/>
      <c r="K3" s="119"/>
      <c r="L3" s="119"/>
      <c r="M3" s="119"/>
      <c r="N3" s="119"/>
      <c r="O3" s="119"/>
    </row>
    <row r="4">
      <c r="A4" s="120" t="s">
        <v>194</v>
      </c>
      <c r="B4" s="121" t="s">
        <v>23</v>
      </c>
      <c r="C4" s="121" t="s">
        <v>204</v>
      </c>
      <c r="D4" s="68">
        <f>347000/5.4</f>
        <v>64259.25926</v>
      </c>
      <c r="E4" s="122" t="s">
        <v>40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</row>
    <row r="5">
      <c r="A5" s="75" t="s">
        <v>205</v>
      </c>
      <c r="B5" s="48" t="s">
        <v>19</v>
      </c>
      <c r="C5" s="48" t="s">
        <v>21</v>
      </c>
      <c r="D5" s="68">
        <v>39000.0</v>
      </c>
      <c r="E5" s="118" t="s">
        <v>27</v>
      </c>
      <c r="F5" s="48"/>
      <c r="K5" s="119"/>
      <c r="L5" s="119"/>
      <c r="M5" s="119"/>
      <c r="N5" s="119"/>
      <c r="O5" s="119"/>
    </row>
    <row r="6">
      <c r="A6" s="120" t="s">
        <v>198</v>
      </c>
      <c r="B6" s="121" t="s">
        <v>19</v>
      </c>
      <c r="C6" s="121" t="s">
        <v>21</v>
      </c>
      <c r="D6" s="68">
        <v>39000.0</v>
      </c>
      <c r="E6" s="122" t="s">
        <v>27</v>
      </c>
      <c r="F6" s="124"/>
      <c r="H6" s="125" t="s">
        <v>48</v>
      </c>
      <c r="K6" s="123"/>
      <c r="L6" s="123"/>
      <c r="M6" s="123"/>
      <c r="N6" s="123"/>
      <c r="O6" s="123"/>
    </row>
    <row r="7">
      <c r="A7" s="75" t="s">
        <v>206</v>
      </c>
      <c r="B7" s="48" t="s">
        <v>47</v>
      </c>
      <c r="C7" s="48" t="s">
        <v>21</v>
      </c>
      <c r="D7" s="68">
        <v>39000.0</v>
      </c>
      <c r="E7" s="118" t="s">
        <v>27</v>
      </c>
      <c r="F7" s="48"/>
      <c r="G7" s="126" t="s">
        <v>51</v>
      </c>
      <c r="H7" s="127">
        <f>D26</f>
        <v>285690.5664</v>
      </c>
      <c r="I7" s="128">
        <v>1.0</v>
      </c>
      <c r="K7" s="119"/>
      <c r="L7" s="119"/>
      <c r="M7" s="119"/>
      <c r="N7" s="119"/>
      <c r="O7" s="119"/>
    </row>
    <row r="8">
      <c r="A8" s="120" t="s">
        <v>207</v>
      </c>
      <c r="B8" s="48" t="s">
        <v>47</v>
      </c>
      <c r="C8" s="121" t="s">
        <v>7</v>
      </c>
      <c r="D8" s="55">
        <f>54570/5.5</f>
        <v>9921.818182</v>
      </c>
      <c r="E8" s="122" t="s">
        <v>81</v>
      </c>
      <c r="F8" s="121"/>
      <c r="G8" s="129" t="s">
        <v>58</v>
      </c>
      <c r="H8" s="148">
        <f>SUM(D3,D8,D12,D13,D15,D16)</f>
        <v>86962.34423</v>
      </c>
      <c r="I8" s="131">
        <f>H8/H7</f>
        <v>0.3043934748</v>
      </c>
      <c r="K8" s="123"/>
      <c r="L8" s="123"/>
      <c r="M8" s="123"/>
      <c r="N8" s="123"/>
      <c r="O8" s="123"/>
    </row>
    <row r="9">
      <c r="A9" s="75" t="s">
        <v>209</v>
      </c>
      <c r="B9" s="48" t="s">
        <v>19</v>
      </c>
      <c r="C9" s="48" t="s">
        <v>7</v>
      </c>
      <c r="D9" s="70">
        <v>6430.0</v>
      </c>
      <c r="E9" s="118" t="s">
        <v>27</v>
      </c>
      <c r="F9" s="48"/>
      <c r="G9" s="132" t="s">
        <v>61</v>
      </c>
      <c r="I9" s="133">
        <f>H9/H7</f>
        <v>0</v>
      </c>
      <c r="K9" s="119"/>
      <c r="L9" s="119"/>
      <c r="M9" s="119"/>
      <c r="N9" s="119"/>
      <c r="O9" s="119"/>
    </row>
    <row r="10">
      <c r="A10" s="120" t="s">
        <v>210</v>
      </c>
      <c r="B10" s="48" t="s">
        <v>19</v>
      </c>
      <c r="C10" s="48" t="s">
        <v>39</v>
      </c>
      <c r="D10" s="70">
        <v>5000.0</v>
      </c>
      <c r="E10" s="118" t="s">
        <v>27</v>
      </c>
      <c r="F10" s="123"/>
      <c r="G10" s="129" t="s">
        <v>64</v>
      </c>
      <c r="I10" s="131">
        <f>H10/H7</f>
        <v>0</v>
      </c>
      <c r="K10" s="123"/>
      <c r="L10" s="123"/>
      <c r="M10" s="123"/>
      <c r="N10" s="123"/>
      <c r="O10" s="123"/>
    </row>
    <row r="11">
      <c r="A11" s="75" t="s">
        <v>211</v>
      </c>
      <c r="B11" s="48" t="s">
        <v>19</v>
      </c>
      <c r="C11" s="48" t="s">
        <v>82</v>
      </c>
      <c r="D11" s="68">
        <f>18295/5.4</f>
        <v>3387.962963</v>
      </c>
      <c r="E11" s="118" t="s">
        <v>81</v>
      </c>
      <c r="F11" s="48"/>
      <c r="K11" s="119"/>
      <c r="L11" s="119"/>
      <c r="M11" s="119"/>
      <c r="N11" s="119"/>
      <c r="O11" s="119"/>
    </row>
    <row r="12">
      <c r="A12" s="120" t="s">
        <v>46</v>
      </c>
      <c r="B12" s="48" t="s">
        <v>47</v>
      </c>
      <c r="C12" s="121" t="s">
        <v>7</v>
      </c>
      <c r="D12" s="55">
        <v>2598.0</v>
      </c>
      <c r="E12" s="122" t="s">
        <v>81</v>
      </c>
      <c r="F12" s="121"/>
      <c r="G12" s="121" t="s">
        <v>66</v>
      </c>
      <c r="H12" s="134">
        <f>SUM(D8,D12,D15,D16)</f>
        <v>15536.73818</v>
      </c>
      <c r="K12" s="123"/>
      <c r="L12" s="123"/>
      <c r="M12" s="123"/>
      <c r="N12" s="123"/>
      <c r="O12" s="123"/>
    </row>
    <row r="13">
      <c r="A13" s="75" t="s">
        <v>101</v>
      </c>
      <c r="B13" s="48" t="s">
        <v>23</v>
      </c>
      <c r="C13" s="48" t="s">
        <v>74</v>
      </c>
      <c r="D13" s="55">
        <f>11799/5.3</f>
        <v>2226.226415</v>
      </c>
      <c r="E13" s="118" t="s">
        <v>125</v>
      </c>
      <c r="F13" s="119"/>
      <c r="G13" s="48" t="s">
        <v>70</v>
      </c>
      <c r="H13" s="135">
        <f>SUM(D3,D13)</f>
        <v>71425.60604</v>
      </c>
      <c r="K13" s="119"/>
      <c r="L13" s="119"/>
      <c r="M13" s="119"/>
      <c r="N13" s="119"/>
      <c r="O13" s="119"/>
    </row>
    <row r="14">
      <c r="A14" s="120" t="s">
        <v>189</v>
      </c>
      <c r="B14" s="121" t="s">
        <v>19</v>
      </c>
      <c r="C14" s="121" t="s">
        <v>39</v>
      </c>
      <c r="D14" s="68">
        <v>2000.0</v>
      </c>
      <c r="E14" s="122" t="s">
        <v>27</v>
      </c>
      <c r="F14" s="123"/>
      <c r="G14" s="121" t="s">
        <v>71</v>
      </c>
      <c r="H14" s="136"/>
      <c r="I14" s="137"/>
      <c r="K14" s="123"/>
      <c r="L14" s="123"/>
      <c r="M14" s="123"/>
      <c r="N14" s="123"/>
      <c r="O14" s="123"/>
    </row>
    <row r="15">
      <c r="A15" s="75" t="s">
        <v>213</v>
      </c>
      <c r="B15" s="48" t="s">
        <v>47</v>
      </c>
      <c r="C15" s="48" t="s">
        <v>7</v>
      </c>
      <c r="D15" s="55">
        <v>1634.0</v>
      </c>
      <c r="E15" s="118" t="s">
        <v>81</v>
      </c>
      <c r="F15" s="48"/>
    </row>
    <row r="16">
      <c r="A16" s="120" t="s">
        <v>43</v>
      </c>
      <c r="B16" s="121" t="s">
        <v>19</v>
      </c>
      <c r="C16" s="121" t="s">
        <v>7</v>
      </c>
      <c r="D16" s="55">
        <v>1382.92</v>
      </c>
      <c r="E16" s="122" t="s">
        <v>81</v>
      </c>
      <c r="F16" s="121"/>
      <c r="G16" s="123"/>
      <c r="H16" s="123"/>
      <c r="I16" s="123"/>
      <c r="J16" s="123"/>
      <c r="K16" s="123"/>
      <c r="L16" s="123"/>
      <c r="M16" s="123"/>
      <c r="N16" s="123"/>
      <c r="O16" s="123"/>
    </row>
    <row r="17">
      <c r="A17" s="75" t="s">
        <v>215</v>
      </c>
      <c r="B17" s="48" t="s">
        <v>47</v>
      </c>
      <c r="C17" s="48" t="s">
        <v>7</v>
      </c>
      <c r="D17" s="70">
        <v>651.0</v>
      </c>
      <c r="E17" s="118" t="s">
        <v>81</v>
      </c>
      <c r="F17" s="119"/>
      <c r="G17" s="144" t="s">
        <v>90</v>
      </c>
      <c r="H17" s="144" t="s">
        <v>193</v>
      </c>
      <c r="I17" s="119"/>
      <c r="J17" s="119"/>
      <c r="K17" s="119"/>
      <c r="L17" s="119"/>
      <c r="M17" s="119"/>
      <c r="N17" s="119"/>
      <c r="O17" s="119"/>
    </row>
    <row r="18">
      <c r="F18" s="123"/>
      <c r="G18" s="145" t="s">
        <v>24</v>
      </c>
      <c r="H18" s="156">
        <f>D3</f>
        <v>69199.37963</v>
      </c>
      <c r="I18" s="123"/>
      <c r="J18" s="123"/>
      <c r="K18" s="123"/>
      <c r="L18" s="123"/>
      <c r="M18" s="123"/>
      <c r="N18" s="123"/>
      <c r="O18" s="123"/>
    </row>
    <row r="19">
      <c r="F19" s="119"/>
      <c r="G19" s="153" t="s">
        <v>7</v>
      </c>
      <c r="H19" s="155">
        <f>SUM(D8,D12,D13,D15,D16)</f>
        <v>17762.9646</v>
      </c>
      <c r="I19" s="119"/>
      <c r="J19" s="119"/>
      <c r="K19" s="119"/>
      <c r="L19" s="119"/>
      <c r="M19" s="119"/>
      <c r="N19" s="119"/>
      <c r="O19" s="119"/>
    </row>
    <row r="20">
      <c r="F20" s="123"/>
      <c r="G20" s="123"/>
      <c r="H20" s="123"/>
      <c r="I20" s="123"/>
      <c r="J20" s="123"/>
      <c r="K20" s="123"/>
      <c r="L20" s="123"/>
      <c r="M20" s="123"/>
      <c r="N20" s="123"/>
      <c r="O20" s="123"/>
    </row>
    <row r="21">
      <c r="D21" s="48"/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</row>
    <row r="22">
      <c r="F22" s="123"/>
      <c r="G22" s="123"/>
      <c r="H22" s="123"/>
      <c r="I22" s="123"/>
      <c r="J22" s="123"/>
      <c r="K22" s="123"/>
      <c r="L22" s="123"/>
      <c r="M22" s="123"/>
      <c r="N22" s="123"/>
      <c r="O22" s="123"/>
    </row>
    <row r="23">
      <c r="A23" s="75"/>
      <c r="D23" s="38"/>
      <c r="E23" s="118"/>
      <c r="F23" s="119"/>
      <c r="G23" s="119"/>
      <c r="H23" s="119"/>
      <c r="I23" s="119"/>
      <c r="J23" s="119"/>
      <c r="K23" s="119"/>
      <c r="L23" s="119"/>
      <c r="M23" s="119"/>
      <c r="N23" s="119"/>
      <c r="O23" s="119"/>
    </row>
    <row r="24">
      <c r="D24" s="121"/>
      <c r="E24" s="122"/>
      <c r="F24" s="123"/>
      <c r="G24" s="123"/>
      <c r="H24" s="123"/>
      <c r="I24" s="123"/>
      <c r="J24" s="123"/>
      <c r="K24" s="123"/>
      <c r="L24" s="123"/>
      <c r="M24" s="123"/>
      <c r="N24" s="123"/>
      <c r="O24" s="123"/>
    </row>
    <row r="25">
      <c r="E25" s="160"/>
      <c r="F25" s="119"/>
      <c r="G25" s="119"/>
      <c r="H25" s="119"/>
      <c r="I25" s="119"/>
      <c r="J25" s="119"/>
      <c r="K25" s="119"/>
      <c r="L25" s="119"/>
      <c r="M25" s="119"/>
      <c r="N25" s="119"/>
      <c r="O25" s="119"/>
    </row>
    <row r="26">
      <c r="A26" s="161" t="s">
        <v>93</v>
      </c>
      <c r="B26" s="162"/>
      <c r="C26" s="162"/>
      <c r="D26" s="141">
        <f>SUM(D3:D24)</f>
        <v>285690.5664</v>
      </c>
      <c r="E26" s="163"/>
      <c r="F26" s="123"/>
      <c r="G26" s="123"/>
      <c r="H26" s="123"/>
      <c r="I26" s="123"/>
      <c r="J26" s="123"/>
      <c r="K26" s="123"/>
      <c r="L26" s="123"/>
      <c r="M26" s="123"/>
      <c r="N26" s="123"/>
      <c r="O26" s="123"/>
    </row>
  </sheetData>
  <autoFilter ref="$A$2:$E$17"/>
  <mergeCells count="2">
    <mergeCell ref="A1:E1"/>
    <mergeCell ref="A26:C26"/>
  </mergeCell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9.13"/>
    <col customWidth="1" min="3" max="3" width="12.88"/>
    <col customWidth="1" min="4" max="4" width="10.25"/>
    <col customWidth="1" min="5" max="5" width="13.5"/>
    <col customWidth="1" min="7" max="7" width="13.63"/>
    <col customWidth="1" min="8" max="8" width="10.25"/>
    <col customWidth="1" min="9" max="9" width="6.5"/>
    <col customWidth="1" min="10" max="10" width="5.0"/>
    <col customWidth="1" min="11" max="11" width="7.38"/>
    <col customWidth="1" min="12" max="12" width="6.0"/>
    <col customWidth="1" min="13" max="13" width="4.5"/>
    <col customWidth="1" min="14" max="14" width="5.5"/>
    <col customWidth="1" min="15" max="15" width="5.13"/>
    <col customWidth="1" min="16" max="16" width="4.75"/>
    <col customWidth="1" min="17" max="17" width="4.38"/>
  </cols>
  <sheetData>
    <row r="1">
      <c r="A1" s="8" t="s">
        <v>218</v>
      </c>
      <c r="B1" s="9"/>
      <c r="C1" s="9"/>
      <c r="D1" s="9"/>
      <c r="E1" s="10"/>
    </row>
    <row r="2">
      <c r="A2" s="114" t="s">
        <v>11</v>
      </c>
      <c r="B2" s="116" t="s">
        <v>12</v>
      </c>
      <c r="C2" s="116" t="s">
        <v>13</v>
      </c>
      <c r="D2" s="116" t="s">
        <v>14</v>
      </c>
      <c r="E2" s="117" t="s">
        <v>15</v>
      </c>
    </row>
    <row r="3">
      <c r="A3" s="75" t="s">
        <v>219</v>
      </c>
      <c r="B3" s="48" t="s">
        <v>19</v>
      </c>
      <c r="C3" s="48" t="s">
        <v>220</v>
      </c>
      <c r="D3" s="68">
        <v>131000.0</v>
      </c>
      <c r="E3" s="118" t="s">
        <v>125</v>
      </c>
      <c r="F3" s="119"/>
      <c r="G3" s="119"/>
      <c r="H3" s="119"/>
      <c r="I3" s="119"/>
      <c r="J3" s="119"/>
      <c r="K3" s="144" t="s">
        <v>221</v>
      </c>
      <c r="L3" s="144" t="s">
        <v>222</v>
      </c>
      <c r="M3" s="144" t="s">
        <v>223</v>
      </c>
      <c r="N3" s="144" t="s">
        <v>224</v>
      </c>
      <c r="O3" s="144" t="s">
        <v>225</v>
      </c>
      <c r="P3" s="144" t="s">
        <v>226</v>
      </c>
      <c r="Q3" s="144" t="s">
        <v>227</v>
      </c>
    </row>
    <row r="4">
      <c r="A4" s="75" t="s">
        <v>228</v>
      </c>
      <c r="B4" s="48" t="s">
        <v>47</v>
      </c>
      <c r="C4" s="48" t="s">
        <v>39</v>
      </c>
      <c r="D4" s="70">
        <v>100000.0</v>
      </c>
      <c r="E4" s="122" t="s">
        <v>27</v>
      </c>
      <c r="F4" s="123"/>
      <c r="G4" s="123"/>
      <c r="H4" s="123"/>
      <c r="I4" s="123"/>
      <c r="J4" s="123"/>
      <c r="K4" s="164">
        <v>1.0</v>
      </c>
      <c r="L4" s="165">
        <v>31.0</v>
      </c>
      <c r="M4" s="165">
        <v>39.0</v>
      </c>
      <c r="N4" s="165">
        <v>45.0</v>
      </c>
      <c r="O4" s="165">
        <v>48.0</v>
      </c>
      <c r="P4" s="165">
        <v>54.0</v>
      </c>
      <c r="Q4" s="165">
        <v>62.0</v>
      </c>
    </row>
    <row r="5">
      <c r="A5" s="75" t="s">
        <v>194</v>
      </c>
      <c r="B5" s="48" t="s">
        <v>23</v>
      </c>
      <c r="C5" s="48" t="s">
        <v>24</v>
      </c>
      <c r="D5" s="68">
        <v>95000.0</v>
      </c>
      <c r="E5" s="118" t="s">
        <v>40</v>
      </c>
      <c r="F5" s="48"/>
      <c r="K5" s="166">
        <v>0.9</v>
      </c>
      <c r="L5" s="167">
        <v>7.0</v>
      </c>
      <c r="M5" s="167">
        <v>6.0</v>
      </c>
      <c r="N5" s="167">
        <v>6.0</v>
      </c>
      <c r="O5" s="167">
        <v>4.0</v>
      </c>
      <c r="P5" s="167">
        <v>5.0</v>
      </c>
      <c r="Q5" s="167">
        <v>4.0</v>
      </c>
    </row>
    <row r="6">
      <c r="A6" s="121" t="s">
        <v>18</v>
      </c>
      <c r="B6" s="121" t="s">
        <v>23</v>
      </c>
      <c r="C6" s="121" t="s">
        <v>24</v>
      </c>
      <c r="D6" s="21">
        <v>61111.0</v>
      </c>
      <c r="E6" s="122" t="s">
        <v>25</v>
      </c>
      <c r="F6" s="121"/>
      <c r="H6" s="125" t="s">
        <v>48</v>
      </c>
      <c r="K6" s="164">
        <v>0.75</v>
      </c>
      <c r="L6" s="165">
        <v>1.0</v>
      </c>
      <c r="M6" s="165">
        <v>1.0</v>
      </c>
      <c r="N6" s="165">
        <v>3.0</v>
      </c>
      <c r="O6" s="165">
        <v>3.0</v>
      </c>
      <c r="P6" s="165">
        <v>1.0</v>
      </c>
      <c r="Q6" s="165">
        <v>0.0</v>
      </c>
    </row>
    <row r="7">
      <c r="A7" s="48" t="s">
        <v>158</v>
      </c>
      <c r="B7" s="48" t="s">
        <v>23</v>
      </c>
      <c r="C7" s="48" t="s">
        <v>24</v>
      </c>
      <c r="D7" s="70">
        <v>46428.571428571435</v>
      </c>
      <c r="E7" s="118" t="s">
        <v>229</v>
      </c>
      <c r="F7" s="119"/>
      <c r="G7" s="168" t="s">
        <v>51</v>
      </c>
      <c r="H7" s="169">
        <f>D28</f>
        <v>663740.6148</v>
      </c>
      <c r="I7" s="170">
        <v>1.0</v>
      </c>
      <c r="K7" s="166">
        <v>0.6</v>
      </c>
      <c r="L7" s="167">
        <v>2.0</v>
      </c>
      <c r="M7" s="167">
        <v>4.0</v>
      </c>
      <c r="N7" s="167">
        <v>1.0</v>
      </c>
      <c r="O7" s="167">
        <v>3.0</v>
      </c>
      <c r="P7" s="167">
        <v>1.0</v>
      </c>
      <c r="Q7" s="167">
        <v>2.0</v>
      </c>
    </row>
    <row r="8">
      <c r="A8" s="121" t="s">
        <v>195</v>
      </c>
      <c r="B8" s="121" t="s">
        <v>19</v>
      </c>
      <c r="C8" s="121" t="s">
        <v>21</v>
      </c>
      <c r="D8" s="68">
        <v>36665.81</v>
      </c>
      <c r="E8" s="122" t="s">
        <v>27</v>
      </c>
      <c r="F8" s="121"/>
      <c r="G8" s="171" t="s">
        <v>58</v>
      </c>
      <c r="H8" s="130">
        <f>D12+D13+D20+D21+D25+D26</f>
        <v>37324.35185</v>
      </c>
      <c r="I8" s="172">
        <f>H8/H7</f>
        <v>0.05623334029</v>
      </c>
      <c r="K8" s="164">
        <v>0.5</v>
      </c>
      <c r="L8" s="165">
        <v>15.0</v>
      </c>
      <c r="M8" s="165">
        <v>16.0</v>
      </c>
      <c r="N8" s="165">
        <v>15.0</v>
      </c>
      <c r="O8" s="165">
        <v>19.0</v>
      </c>
      <c r="P8" s="165">
        <v>52.0</v>
      </c>
      <c r="Q8" s="165">
        <v>39.0</v>
      </c>
    </row>
    <row r="9">
      <c r="A9" s="48" t="s">
        <v>17</v>
      </c>
      <c r="B9" s="48" t="s">
        <v>19</v>
      </c>
      <c r="C9" s="48" t="s">
        <v>21</v>
      </c>
      <c r="D9" s="68">
        <v>35000.0</v>
      </c>
      <c r="E9" s="118" t="s">
        <v>27</v>
      </c>
      <c r="F9" s="119"/>
      <c r="G9" s="173" t="s">
        <v>61</v>
      </c>
      <c r="H9" s="147">
        <f>SUM(D15,D16,D19,D22,D23,D24)</f>
        <v>29692</v>
      </c>
      <c r="I9" s="174">
        <f>H9/H7</f>
        <v>0.04473434251</v>
      </c>
      <c r="K9" s="166">
        <v>0.25</v>
      </c>
      <c r="L9" s="167">
        <v>22.0</v>
      </c>
      <c r="M9" s="167">
        <v>17.0</v>
      </c>
      <c r="N9" s="167">
        <v>13.0</v>
      </c>
      <c r="O9" s="167">
        <v>16.0</v>
      </c>
      <c r="P9" s="167">
        <v>21.0</v>
      </c>
      <c r="Q9" s="167">
        <v>22.0</v>
      </c>
    </row>
    <row r="10">
      <c r="A10" s="120" t="s">
        <v>230</v>
      </c>
      <c r="B10" s="121" t="s">
        <v>23</v>
      </c>
      <c r="C10" s="121" t="s">
        <v>24</v>
      </c>
      <c r="D10" s="68">
        <v>33000.0</v>
      </c>
      <c r="E10" s="122" t="s">
        <v>27</v>
      </c>
      <c r="F10" s="123"/>
      <c r="G10" s="175" t="s">
        <v>64</v>
      </c>
      <c r="H10" s="176">
        <f>SUM(D3,D5,D7,D9,D10,D11,D14,D8)</f>
        <v>422294.3814</v>
      </c>
      <c r="I10" s="177">
        <f>H10/H7</f>
        <v>0.6362340529</v>
      </c>
      <c r="K10" s="164">
        <v>0.1</v>
      </c>
      <c r="L10" s="165">
        <v>18.0</v>
      </c>
      <c r="M10" s="165">
        <v>25.0</v>
      </c>
      <c r="N10" s="165">
        <v>18.0</v>
      </c>
      <c r="O10" s="165">
        <v>19.0</v>
      </c>
      <c r="P10" s="165">
        <v>17.0</v>
      </c>
      <c r="Q10" s="165">
        <v>12.0</v>
      </c>
    </row>
    <row r="11">
      <c r="A11" s="75" t="s">
        <v>231</v>
      </c>
      <c r="B11" s="48" t="s">
        <v>19</v>
      </c>
      <c r="C11" s="48" t="s">
        <v>21</v>
      </c>
      <c r="D11" s="68">
        <v>29000.0</v>
      </c>
      <c r="E11" s="118" t="s">
        <v>27</v>
      </c>
      <c r="F11" s="119"/>
      <c r="Q11" s="150"/>
    </row>
    <row r="12">
      <c r="A12" s="120" t="s">
        <v>54</v>
      </c>
      <c r="B12" s="121" t="s">
        <v>23</v>
      </c>
      <c r="C12" s="121" t="s">
        <v>24</v>
      </c>
      <c r="D12" s="55">
        <f t="shared" ref="D12:D13" si="2">90000/5.4</f>
        <v>16666.66667</v>
      </c>
      <c r="E12" s="122" t="s">
        <v>40</v>
      </c>
      <c r="F12" s="123"/>
      <c r="G12" s="121" t="s">
        <v>66</v>
      </c>
      <c r="H12" s="134">
        <f>SUM(D20,D21,D25,D26)</f>
        <v>3991.018519</v>
      </c>
      <c r="K12" s="165" t="s">
        <v>93</v>
      </c>
      <c r="L12" s="178">
        <f t="shared" ref="L12:Q12" si="1">SUM(L4:L10)</f>
        <v>96</v>
      </c>
      <c r="M12" s="178">
        <f t="shared" si="1"/>
        <v>108</v>
      </c>
      <c r="N12" s="178">
        <f t="shared" si="1"/>
        <v>101</v>
      </c>
      <c r="O12" s="178">
        <f t="shared" si="1"/>
        <v>112</v>
      </c>
      <c r="P12" s="178">
        <f t="shared" si="1"/>
        <v>151</v>
      </c>
      <c r="Q12" s="178">
        <f t="shared" si="1"/>
        <v>141</v>
      </c>
    </row>
    <row r="13">
      <c r="A13" s="75" t="s">
        <v>232</v>
      </c>
      <c r="B13" s="48" t="s">
        <v>23</v>
      </c>
      <c r="C13" s="48" t="s">
        <v>24</v>
      </c>
      <c r="D13" s="55">
        <f t="shared" si="2"/>
        <v>16666.66667</v>
      </c>
      <c r="E13" s="118" t="s">
        <v>40</v>
      </c>
      <c r="F13" s="119"/>
      <c r="G13" s="48" t="s">
        <v>70</v>
      </c>
      <c r="H13" s="135">
        <f>SUM(D12,D13)</f>
        <v>33333.33333</v>
      </c>
      <c r="K13" s="119"/>
      <c r="L13" s="119"/>
      <c r="M13" s="119"/>
      <c r="N13" s="119"/>
      <c r="O13" s="119"/>
      <c r="P13" s="119"/>
      <c r="Q13" s="119"/>
    </row>
    <row r="14">
      <c r="A14" s="179" t="s">
        <v>210</v>
      </c>
      <c r="B14" s="48" t="s">
        <v>19</v>
      </c>
      <c r="C14" s="48" t="s">
        <v>39</v>
      </c>
      <c r="D14" s="68">
        <v>16200.0</v>
      </c>
      <c r="E14" s="118" t="s">
        <v>27</v>
      </c>
      <c r="F14" s="123"/>
      <c r="G14" s="121" t="s">
        <v>71</v>
      </c>
      <c r="H14" s="134">
        <f>SUM(H12:H13)</f>
        <v>37324.35185</v>
      </c>
      <c r="I14" s="137"/>
      <c r="K14" s="123"/>
      <c r="L14" s="123"/>
      <c r="M14" s="123"/>
      <c r="N14" s="123"/>
      <c r="O14" s="123"/>
      <c r="P14" s="123"/>
      <c r="Q14" s="123"/>
    </row>
    <row r="15">
      <c r="A15" s="75" t="s">
        <v>233</v>
      </c>
      <c r="B15" s="48" t="s">
        <v>234</v>
      </c>
      <c r="C15" s="48" t="s">
        <v>74</v>
      </c>
      <c r="D15" s="70">
        <v>15000.0</v>
      </c>
      <c r="E15" s="118" t="s">
        <v>27</v>
      </c>
      <c r="F15" s="119"/>
      <c r="P15" s="150"/>
      <c r="Q15" s="150"/>
    </row>
    <row r="16">
      <c r="A16" s="120" t="s">
        <v>235</v>
      </c>
      <c r="B16" s="121" t="s">
        <v>23</v>
      </c>
      <c r="C16" s="121" t="s">
        <v>24</v>
      </c>
      <c r="D16" s="70">
        <v>10000.0</v>
      </c>
      <c r="E16" s="122" t="s">
        <v>27</v>
      </c>
      <c r="F16" s="123"/>
      <c r="G16" s="152" t="s">
        <v>89</v>
      </c>
      <c r="H16" s="152" t="s">
        <v>193</v>
      </c>
      <c r="I16" s="123"/>
      <c r="J16" s="123"/>
      <c r="K16" s="123"/>
      <c r="L16" s="123"/>
      <c r="M16" s="123"/>
      <c r="N16" s="123"/>
      <c r="O16" s="123"/>
      <c r="P16" s="123"/>
      <c r="Q16" s="123"/>
    </row>
    <row r="17">
      <c r="A17" s="180" t="s">
        <v>236</v>
      </c>
      <c r="B17" s="48" t="s">
        <v>23</v>
      </c>
      <c r="C17" s="48" t="s">
        <v>24</v>
      </c>
      <c r="D17" s="70">
        <v>7407.4</v>
      </c>
      <c r="E17" s="118" t="s">
        <v>40</v>
      </c>
      <c r="F17" s="119"/>
      <c r="G17" s="153" t="s">
        <v>24</v>
      </c>
      <c r="H17" s="154">
        <f>SUM(D12:D13)</f>
        <v>33333.33333</v>
      </c>
      <c r="I17" s="119"/>
      <c r="J17" s="119"/>
      <c r="K17" s="119"/>
      <c r="L17" s="119"/>
      <c r="M17" s="119"/>
      <c r="N17" s="119"/>
      <c r="O17" s="119"/>
      <c r="P17" s="119"/>
      <c r="Q17" s="119"/>
    </row>
    <row r="18">
      <c r="A18" s="180" t="s">
        <v>209</v>
      </c>
      <c r="B18" s="48" t="s">
        <v>19</v>
      </c>
      <c r="C18" s="48" t="s">
        <v>7</v>
      </c>
      <c r="D18" s="68">
        <v>6430.0</v>
      </c>
      <c r="E18" s="118" t="s">
        <v>27</v>
      </c>
      <c r="F18" s="123"/>
      <c r="G18" s="145" t="s">
        <v>7</v>
      </c>
      <c r="H18" s="146">
        <f>SUM(D20,D21,D25)</f>
        <v>3472.5</v>
      </c>
      <c r="I18" s="123"/>
      <c r="J18" s="123"/>
      <c r="K18" s="123"/>
      <c r="L18" s="123"/>
      <c r="M18" s="123"/>
      <c r="N18" s="123"/>
      <c r="O18" s="123"/>
      <c r="P18" s="123"/>
      <c r="Q18" s="123"/>
    </row>
    <row r="19">
      <c r="A19" s="180" t="s">
        <v>237</v>
      </c>
      <c r="B19" s="48" t="s">
        <v>19</v>
      </c>
      <c r="C19" s="48" t="s">
        <v>7</v>
      </c>
      <c r="D19" s="70">
        <v>2000.0</v>
      </c>
      <c r="E19" s="118" t="s">
        <v>81</v>
      </c>
      <c r="F19" s="119"/>
      <c r="G19" s="153" t="s">
        <v>39</v>
      </c>
      <c r="H19" s="155">
        <f>D26</f>
        <v>518.5185185</v>
      </c>
      <c r="I19" s="119"/>
      <c r="J19" s="119"/>
      <c r="K19" s="119"/>
      <c r="L19" s="119"/>
      <c r="M19" s="119"/>
      <c r="N19" s="119"/>
      <c r="O19" s="119"/>
      <c r="P19" s="119"/>
      <c r="Q19" s="119"/>
    </row>
    <row r="20">
      <c r="A20" s="48" t="s">
        <v>77</v>
      </c>
      <c r="B20" s="48" t="s">
        <v>19</v>
      </c>
      <c r="C20" s="48" t="s">
        <v>7</v>
      </c>
      <c r="D20" s="55">
        <v>1440.0</v>
      </c>
      <c r="E20" s="122" t="s">
        <v>81</v>
      </c>
      <c r="F20" s="121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</row>
    <row r="21">
      <c r="A21" s="75" t="s">
        <v>80</v>
      </c>
      <c r="B21" s="48" t="s">
        <v>19</v>
      </c>
      <c r="C21" s="48" t="s">
        <v>7</v>
      </c>
      <c r="D21" s="55">
        <v>1383.0</v>
      </c>
      <c r="E21" s="118" t="s">
        <v>81</v>
      </c>
      <c r="F21" s="48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</row>
    <row r="22">
      <c r="A22" s="180" t="s">
        <v>238</v>
      </c>
      <c r="B22" s="48" t="s">
        <v>19</v>
      </c>
      <c r="C22" s="48" t="s">
        <v>7</v>
      </c>
      <c r="D22" s="70">
        <v>1041.0</v>
      </c>
      <c r="E22" s="122" t="s">
        <v>81</v>
      </c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</row>
    <row r="23">
      <c r="A23" s="180" t="s">
        <v>239</v>
      </c>
      <c r="B23" s="48" t="s">
        <v>19</v>
      </c>
      <c r="C23" s="48" t="s">
        <v>39</v>
      </c>
      <c r="D23" s="70">
        <v>1000.0</v>
      </c>
      <c r="E23" s="118" t="s">
        <v>27</v>
      </c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</row>
    <row r="24">
      <c r="A24" s="75" t="s">
        <v>240</v>
      </c>
      <c r="B24" s="48" t="s">
        <v>19</v>
      </c>
      <c r="C24" s="48" t="s">
        <v>7</v>
      </c>
      <c r="D24" s="70">
        <v>651.0</v>
      </c>
      <c r="E24" s="122" t="s">
        <v>81</v>
      </c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</row>
    <row r="25">
      <c r="A25" s="75" t="s">
        <v>84</v>
      </c>
      <c r="B25" s="48" t="s">
        <v>19</v>
      </c>
      <c r="C25" s="48" t="s">
        <v>7</v>
      </c>
      <c r="D25" s="55">
        <v>649.5</v>
      </c>
      <c r="E25" s="118" t="s">
        <v>81</v>
      </c>
      <c r="F25" s="48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>
      <c r="A26" s="121" t="s">
        <v>69</v>
      </c>
      <c r="B26" s="121" t="s">
        <v>19</v>
      </c>
      <c r="C26" s="121" t="s">
        <v>39</v>
      </c>
      <c r="D26" s="55">
        <f>2800/5.4</f>
        <v>518.5185185</v>
      </c>
      <c r="E26" s="121" t="s">
        <v>27</v>
      </c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</row>
    <row r="27">
      <c r="E27" s="160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</row>
    <row r="28">
      <c r="A28" s="161" t="s">
        <v>93</v>
      </c>
      <c r="B28" s="162"/>
      <c r="C28" s="162"/>
      <c r="D28" s="141">
        <f>SUM(D3:D25)</f>
        <v>663740.6148</v>
      </c>
      <c r="E28" s="16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</row>
    <row r="29"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</row>
  </sheetData>
  <mergeCells count="2">
    <mergeCell ref="A1:E1"/>
    <mergeCell ref="A28:C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9.13"/>
    <col customWidth="1" min="3" max="3" width="12.88"/>
    <col customWidth="1" min="4" max="4" width="10.25"/>
    <col customWidth="1" min="5" max="5" width="13.5"/>
    <col customWidth="1" min="7" max="7" width="13.63"/>
    <col customWidth="1" min="8" max="8" width="10.25"/>
    <col customWidth="1" min="9" max="9" width="6.5"/>
    <col customWidth="1" min="10" max="10" width="5.0"/>
    <col customWidth="1" min="11" max="11" width="7.38"/>
    <col customWidth="1" min="12" max="12" width="6.0"/>
    <col customWidth="1" min="13" max="13" width="4.5"/>
    <col customWidth="1" min="14" max="14" width="5.5"/>
    <col customWidth="1" min="15" max="15" width="5.13"/>
    <col customWidth="1" min="16" max="16" width="4.75"/>
  </cols>
  <sheetData>
    <row r="1">
      <c r="A1" s="8" t="s">
        <v>241</v>
      </c>
      <c r="B1" s="9"/>
      <c r="C1" s="9"/>
      <c r="D1" s="9"/>
      <c r="E1" s="10"/>
    </row>
    <row r="2">
      <c r="A2" s="114" t="s">
        <v>11</v>
      </c>
      <c r="B2" s="116" t="s">
        <v>12</v>
      </c>
      <c r="C2" s="116" t="s">
        <v>13</v>
      </c>
      <c r="D2" s="116" t="s">
        <v>14</v>
      </c>
      <c r="E2" s="117" t="s">
        <v>15</v>
      </c>
    </row>
    <row r="3">
      <c r="A3" s="75" t="s">
        <v>194</v>
      </c>
      <c r="B3" s="48" t="s">
        <v>23</v>
      </c>
      <c r="C3" s="48" t="s">
        <v>24</v>
      </c>
      <c r="D3" s="68">
        <v>95000.0</v>
      </c>
      <c r="E3" s="118" t="s">
        <v>40</v>
      </c>
      <c r="F3" s="48"/>
      <c r="G3" s="119"/>
      <c r="H3" s="119"/>
      <c r="I3" s="119"/>
      <c r="J3" s="119"/>
      <c r="K3" s="119"/>
      <c r="L3" s="119"/>
      <c r="M3" s="119"/>
      <c r="N3" s="119"/>
      <c r="O3" s="119"/>
      <c r="P3" s="119"/>
    </row>
    <row r="4">
      <c r="A4" s="120" t="s">
        <v>158</v>
      </c>
      <c r="B4" s="121" t="s">
        <v>23</v>
      </c>
      <c r="C4" s="121" t="s">
        <v>24</v>
      </c>
      <c r="D4" s="68">
        <v>46428.571428571435</v>
      </c>
      <c r="E4" s="122" t="s">
        <v>229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</row>
    <row r="5">
      <c r="A5" s="48" t="s">
        <v>195</v>
      </c>
      <c r="B5" s="48" t="s">
        <v>19</v>
      </c>
      <c r="C5" s="48" t="s">
        <v>21</v>
      </c>
      <c r="D5" s="70">
        <v>32000.0</v>
      </c>
      <c r="E5" s="118" t="s">
        <v>27</v>
      </c>
      <c r="F5" s="119"/>
      <c r="K5" s="144" t="s">
        <v>221</v>
      </c>
      <c r="L5" s="144" t="s">
        <v>222</v>
      </c>
      <c r="M5" s="144" t="s">
        <v>223</v>
      </c>
      <c r="N5" s="144" t="s">
        <v>224</v>
      </c>
      <c r="O5" s="144" t="s">
        <v>225</v>
      </c>
      <c r="P5" s="144" t="s">
        <v>226</v>
      </c>
    </row>
    <row r="6">
      <c r="A6" s="183" t="s">
        <v>101</v>
      </c>
      <c r="B6" s="121" t="s">
        <v>19</v>
      </c>
      <c r="C6" s="121" t="s">
        <v>220</v>
      </c>
      <c r="D6" s="55">
        <v>16666.0</v>
      </c>
      <c r="E6" s="122" t="s">
        <v>125</v>
      </c>
      <c r="F6" s="123"/>
      <c r="H6" s="125" t="s">
        <v>48</v>
      </c>
      <c r="K6" s="164">
        <v>1.0</v>
      </c>
      <c r="L6" s="165">
        <v>31.0</v>
      </c>
      <c r="M6" s="165">
        <v>39.0</v>
      </c>
      <c r="N6" s="165">
        <v>45.0</v>
      </c>
      <c r="O6" s="165">
        <v>48.0</v>
      </c>
      <c r="P6" s="165">
        <v>54.0</v>
      </c>
    </row>
    <row r="7">
      <c r="A7" s="180" t="s">
        <v>108</v>
      </c>
      <c r="B7" s="48" t="s">
        <v>19</v>
      </c>
      <c r="C7" s="48" t="s">
        <v>39</v>
      </c>
      <c r="D7" s="55">
        <v>13800.0</v>
      </c>
      <c r="E7" s="118" t="s">
        <v>27</v>
      </c>
      <c r="F7" s="119"/>
      <c r="G7" s="126" t="s">
        <v>51</v>
      </c>
      <c r="H7" s="127">
        <f>D22</f>
        <v>233636.2514</v>
      </c>
      <c r="I7" s="128">
        <v>1.0</v>
      </c>
      <c r="K7" s="166">
        <v>0.9</v>
      </c>
      <c r="L7" s="167">
        <v>7.0</v>
      </c>
      <c r="M7" s="167">
        <v>6.0</v>
      </c>
      <c r="N7" s="167">
        <v>6.0</v>
      </c>
      <c r="O7" s="167">
        <v>4.0</v>
      </c>
      <c r="P7" s="167">
        <v>5.0</v>
      </c>
    </row>
    <row r="8">
      <c r="A8" s="183" t="s">
        <v>245</v>
      </c>
      <c r="B8" s="121" t="s">
        <v>19</v>
      </c>
      <c r="C8" s="121" t="s">
        <v>7</v>
      </c>
      <c r="D8" s="55">
        <v>1858.4</v>
      </c>
      <c r="E8" s="118" t="s">
        <v>27</v>
      </c>
      <c r="F8" s="123"/>
      <c r="G8" s="129" t="s">
        <v>58</v>
      </c>
      <c r="H8" s="130">
        <f>SUM(D6:D8,D10,D16,D18,D20)</f>
        <v>40868.4</v>
      </c>
      <c r="I8" s="131">
        <f>H8/H7</f>
        <v>0.1749231969</v>
      </c>
      <c r="K8" s="164">
        <v>0.75</v>
      </c>
      <c r="L8" s="165">
        <v>1.0</v>
      </c>
      <c r="M8" s="165">
        <v>1.0</v>
      </c>
      <c r="N8" s="165">
        <v>3.0</v>
      </c>
      <c r="O8" s="165">
        <v>3.0</v>
      </c>
      <c r="P8" s="165">
        <v>1.0</v>
      </c>
    </row>
    <row r="9">
      <c r="A9" s="180" t="s">
        <v>209</v>
      </c>
      <c r="B9" s="48" t="s">
        <v>19</v>
      </c>
      <c r="C9" s="48" t="s">
        <v>7</v>
      </c>
      <c r="D9" s="68">
        <v>6430.0</v>
      </c>
      <c r="E9" s="118" t="s">
        <v>27</v>
      </c>
      <c r="F9" s="119"/>
      <c r="G9" s="132" t="s">
        <v>61</v>
      </c>
      <c r="H9" s="147">
        <f>SUM(D5,D11,D13,D14)</f>
        <v>40217.28</v>
      </c>
      <c r="I9" s="133">
        <f>H9/H7</f>
        <v>0.1721363006</v>
      </c>
      <c r="K9" s="166">
        <v>0.6</v>
      </c>
      <c r="L9" s="167">
        <v>2.0</v>
      </c>
      <c r="M9" s="167">
        <v>4.0</v>
      </c>
      <c r="N9" s="167">
        <v>1.0</v>
      </c>
      <c r="O9" s="167">
        <v>3.0</v>
      </c>
      <c r="P9" s="167">
        <v>1.0</v>
      </c>
    </row>
    <row r="10">
      <c r="A10" s="183" t="s">
        <v>124</v>
      </c>
      <c r="B10" s="121" t="s">
        <v>19</v>
      </c>
      <c r="C10" s="121" t="s">
        <v>7</v>
      </c>
      <c r="D10" s="55">
        <v>5852.0</v>
      </c>
      <c r="E10" s="122" t="s">
        <v>27</v>
      </c>
      <c r="F10" s="123"/>
      <c r="G10" s="129" t="s">
        <v>64</v>
      </c>
      <c r="H10" s="130">
        <f>SUM(D4,D9,D15,D17,D19,D3,D12)</f>
        <v>152550.5714</v>
      </c>
      <c r="I10" s="131">
        <f>H10/H7</f>
        <v>0.6529405026</v>
      </c>
      <c r="K10" s="164">
        <v>0.5</v>
      </c>
      <c r="L10" s="165">
        <v>15.0</v>
      </c>
      <c r="M10" s="165">
        <v>16.0</v>
      </c>
      <c r="N10" s="165">
        <v>15.0</v>
      </c>
      <c r="O10" s="165">
        <v>19.0</v>
      </c>
      <c r="P10" s="165">
        <v>52.0</v>
      </c>
    </row>
    <row r="11">
      <c r="A11" s="180" t="s">
        <v>101</v>
      </c>
      <c r="B11" s="48" t="s">
        <v>23</v>
      </c>
      <c r="C11" s="48" t="s">
        <v>252</v>
      </c>
      <c r="D11" s="70">
        <v>4464.28</v>
      </c>
      <c r="E11" s="118" t="s">
        <v>125</v>
      </c>
      <c r="F11" s="119"/>
      <c r="K11" s="166">
        <v>0.25</v>
      </c>
      <c r="L11" s="167">
        <v>22.0</v>
      </c>
      <c r="M11" s="167">
        <v>17.0</v>
      </c>
      <c r="N11" s="167">
        <v>13.0</v>
      </c>
      <c r="O11" s="167">
        <v>16.0</v>
      </c>
      <c r="P11" s="167">
        <v>21.0</v>
      </c>
    </row>
    <row r="12">
      <c r="A12" s="183" t="s">
        <v>237</v>
      </c>
      <c r="B12" s="121" t="s">
        <v>19</v>
      </c>
      <c r="C12" s="121" t="s">
        <v>7</v>
      </c>
      <c r="D12" s="68">
        <v>2000.0</v>
      </c>
      <c r="E12" s="122" t="s">
        <v>248</v>
      </c>
      <c r="F12" s="123"/>
      <c r="G12" s="121" t="s">
        <v>66</v>
      </c>
      <c r="H12" s="134">
        <f>SUM(D6:D8,D10,D16,D18,D20)</f>
        <v>40868.4</v>
      </c>
      <c r="K12" s="164">
        <v>0.1</v>
      </c>
      <c r="L12" s="165">
        <v>18.0</v>
      </c>
      <c r="M12" s="165">
        <v>25.0</v>
      </c>
      <c r="N12" s="165">
        <v>18.0</v>
      </c>
      <c r="O12" s="165">
        <v>19.0</v>
      </c>
      <c r="P12" s="165">
        <v>17.0</v>
      </c>
    </row>
    <row r="13">
      <c r="A13" s="184" t="s">
        <v>253</v>
      </c>
      <c r="B13" s="48" t="s">
        <v>19</v>
      </c>
      <c r="C13" s="48" t="s">
        <v>7</v>
      </c>
      <c r="D13" s="70">
        <v>1953.0</v>
      </c>
      <c r="E13" s="118" t="s">
        <v>248</v>
      </c>
      <c r="F13" s="119"/>
      <c r="G13" s="48" t="s">
        <v>70</v>
      </c>
      <c r="H13" s="135">
        <v>0.0</v>
      </c>
    </row>
    <row r="14">
      <c r="A14" s="183" t="s">
        <v>254</v>
      </c>
      <c r="B14" s="121" t="s">
        <v>19</v>
      </c>
      <c r="C14" s="121" t="s">
        <v>39</v>
      </c>
      <c r="D14" s="70">
        <v>1800.0</v>
      </c>
      <c r="E14" s="122" t="s">
        <v>27</v>
      </c>
      <c r="F14" s="123"/>
      <c r="G14" s="121" t="s">
        <v>71</v>
      </c>
      <c r="H14" s="134">
        <f>SUM(H12:H13)</f>
        <v>40868.4</v>
      </c>
      <c r="I14" s="137"/>
      <c r="K14" s="165" t="s">
        <v>93</v>
      </c>
      <c r="L14" s="178">
        <f t="shared" ref="L14:P14" si="1">SUM(L6:L12)</f>
        <v>96</v>
      </c>
      <c r="M14" s="178">
        <f t="shared" si="1"/>
        <v>108</v>
      </c>
      <c r="N14" s="178">
        <f t="shared" si="1"/>
        <v>101</v>
      </c>
      <c r="O14" s="178">
        <f t="shared" si="1"/>
        <v>112</v>
      </c>
      <c r="P14" s="178">
        <f t="shared" si="1"/>
        <v>151</v>
      </c>
    </row>
    <row r="15">
      <c r="A15" s="180" t="s">
        <v>238</v>
      </c>
      <c r="B15" s="48" t="s">
        <v>19</v>
      </c>
      <c r="C15" s="48" t="s">
        <v>7</v>
      </c>
      <c r="D15" s="68">
        <v>1041.0</v>
      </c>
      <c r="E15" s="118" t="s">
        <v>248</v>
      </c>
      <c r="F15" s="119"/>
      <c r="P15" s="150"/>
    </row>
    <row r="16">
      <c r="A16" s="180" t="s">
        <v>259</v>
      </c>
      <c r="B16" s="48" t="s">
        <v>19</v>
      </c>
      <c r="C16" s="48" t="s">
        <v>7</v>
      </c>
      <c r="D16" s="55">
        <v>1041.0</v>
      </c>
      <c r="E16" s="118" t="s">
        <v>27</v>
      </c>
      <c r="F16" s="123"/>
      <c r="G16" s="152" t="s">
        <v>88</v>
      </c>
      <c r="H16" s="152" t="s">
        <v>193</v>
      </c>
      <c r="I16" s="123"/>
      <c r="J16" s="123"/>
      <c r="K16" s="123"/>
      <c r="L16" s="123"/>
      <c r="M16" s="123"/>
      <c r="N16" s="123"/>
      <c r="O16" s="123"/>
      <c r="P16" s="123"/>
    </row>
    <row r="17">
      <c r="A17" s="180" t="s">
        <v>239</v>
      </c>
      <c r="B17" s="48" t="s">
        <v>19</v>
      </c>
      <c r="C17" s="48" t="s">
        <v>39</v>
      </c>
      <c r="D17" s="68">
        <v>1000.0</v>
      </c>
      <c r="E17" s="118" t="s">
        <v>27</v>
      </c>
      <c r="F17" s="119"/>
      <c r="G17" s="153" t="s">
        <v>24</v>
      </c>
      <c r="H17" s="154"/>
      <c r="I17" s="119"/>
      <c r="J17" s="119"/>
      <c r="K17" s="119"/>
      <c r="L17" s="119"/>
      <c r="M17" s="119"/>
      <c r="N17" s="119"/>
      <c r="O17" s="119"/>
      <c r="P17" s="119"/>
    </row>
    <row r="18">
      <c r="A18" s="183" t="s">
        <v>69</v>
      </c>
      <c r="B18" s="121" t="s">
        <v>19</v>
      </c>
      <c r="C18" s="121" t="s">
        <v>39</v>
      </c>
      <c r="D18" s="55">
        <v>1000.0</v>
      </c>
      <c r="E18" s="122" t="s">
        <v>27</v>
      </c>
      <c r="F18" s="123"/>
      <c r="G18" s="145" t="s">
        <v>7</v>
      </c>
      <c r="H18" s="146">
        <f>SUM(D8,D10,D16,D20)</f>
        <v>9402.4</v>
      </c>
      <c r="I18" s="123"/>
      <c r="J18" s="123"/>
      <c r="K18" s="123"/>
      <c r="L18" s="123"/>
      <c r="M18" s="123"/>
      <c r="N18" s="123"/>
      <c r="O18" s="123"/>
      <c r="P18" s="123"/>
    </row>
    <row r="19">
      <c r="A19" s="75" t="s">
        <v>240</v>
      </c>
      <c r="B19" s="48" t="s">
        <v>19</v>
      </c>
      <c r="C19" s="48" t="s">
        <v>7</v>
      </c>
      <c r="D19" s="68">
        <v>651.0</v>
      </c>
      <c r="E19" s="118" t="s">
        <v>248</v>
      </c>
      <c r="F19" s="119"/>
      <c r="G19" s="153" t="s">
        <v>39</v>
      </c>
      <c r="H19" s="155">
        <f>SUM(D7,D18)</f>
        <v>14800</v>
      </c>
      <c r="I19" s="119"/>
      <c r="J19" s="119"/>
      <c r="K19" s="119"/>
      <c r="L19" s="119"/>
      <c r="M19" s="119"/>
      <c r="N19" s="119"/>
      <c r="O19" s="119"/>
      <c r="P19" s="119"/>
    </row>
    <row r="20">
      <c r="A20" s="183" t="s">
        <v>261</v>
      </c>
      <c r="B20" s="121" t="s">
        <v>19</v>
      </c>
      <c r="C20" s="121" t="s">
        <v>7</v>
      </c>
      <c r="D20" s="55">
        <v>651.0</v>
      </c>
      <c r="E20" s="122" t="s">
        <v>27</v>
      </c>
      <c r="F20" s="123"/>
      <c r="G20" s="145" t="s">
        <v>220</v>
      </c>
      <c r="H20" s="146">
        <f>SUM(D6)</f>
        <v>16666</v>
      </c>
      <c r="I20" s="123"/>
      <c r="J20" s="123"/>
      <c r="K20" s="123"/>
      <c r="L20" s="123"/>
      <c r="M20" s="123"/>
      <c r="N20" s="123"/>
      <c r="O20" s="123"/>
      <c r="P20" s="123"/>
    </row>
    <row r="21">
      <c r="E21" s="160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</row>
    <row r="22">
      <c r="A22" s="161" t="s">
        <v>93</v>
      </c>
      <c r="B22" s="162"/>
      <c r="C22" s="162"/>
      <c r="D22" s="141">
        <f>SUM(D3:D20)</f>
        <v>233636.2514</v>
      </c>
      <c r="E22" s="16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</row>
  </sheetData>
  <mergeCells count="2">
    <mergeCell ref="A1:E1"/>
    <mergeCell ref="A22:C2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25"/>
    <col customWidth="1" min="2" max="2" width="9.13"/>
    <col customWidth="1" min="3" max="3" width="12.38"/>
    <col customWidth="1" min="4" max="4" width="10.25"/>
    <col customWidth="1" min="5" max="5" width="13.5"/>
    <col customWidth="1" min="6" max="6" width="5.25"/>
    <col customWidth="1" min="7" max="7" width="13.63"/>
    <col customWidth="1" min="8" max="8" width="10.25"/>
    <col customWidth="1" min="9" max="9" width="5.25"/>
    <col customWidth="1" min="10" max="10" width="6.0"/>
    <col customWidth="1" min="11" max="11" width="7.38"/>
    <col customWidth="1" min="12" max="12" width="6.0"/>
    <col customWidth="1" min="13" max="13" width="4.5"/>
    <col customWidth="1" min="14" max="14" width="5.5"/>
    <col customWidth="1" min="15" max="15" width="5.13"/>
    <col customWidth="1" min="17" max="22" width="4.38"/>
    <col customWidth="1" min="23" max="23" width="5.25"/>
    <col customWidth="1" min="24" max="24" width="4.5"/>
  </cols>
  <sheetData>
    <row r="1">
      <c r="A1" s="8" t="s">
        <v>242</v>
      </c>
      <c r="B1" s="9"/>
      <c r="C1" s="9"/>
      <c r="D1" s="9"/>
      <c r="E1" s="10"/>
    </row>
    <row r="2">
      <c r="A2" s="114" t="s">
        <v>11</v>
      </c>
      <c r="B2" s="116" t="s">
        <v>12</v>
      </c>
      <c r="C2" s="116" t="s">
        <v>13</v>
      </c>
      <c r="D2" s="116" t="s">
        <v>14</v>
      </c>
      <c r="E2" s="117" t="s">
        <v>15</v>
      </c>
      <c r="K2" s="6" t="s">
        <v>221</v>
      </c>
      <c r="L2" s="6" t="s">
        <v>222</v>
      </c>
      <c r="M2" s="6" t="s">
        <v>223</v>
      </c>
      <c r="N2" s="6" t="s">
        <v>224</v>
      </c>
      <c r="O2" s="6" t="s">
        <v>225</v>
      </c>
    </row>
    <row r="3">
      <c r="A3" s="75" t="s">
        <v>243</v>
      </c>
      <c r="B3" s="48" t="s">
        <v>19</v>
      </c>
      <c r="C3" s="48" t="s">
        <v>35</v>
      </c>
      <c r="D3" s="70">
        <v>500000.0</v>
      </c>
      <c r="E3" s="118" t="s">
        <v>26</v>
      </c>
      <c r="F3" s="119"/>
      <c r="H3" s="2" t="s">
        <v>48</v>
      </c>
      <c r="K3" s="181">
        <v>1.0</v>
      </c>
      <c r="L3" s="182">
        <v>31.0</v>
      </c>
      <c r="M3" s="182">
        <v>39.0</v>
      </c>
      <c r="N3" s="182">
        <v>45.0</v>
      </c>
      <c r="O3" s="182">
        <v>48.0</v>
      </c>
    </row>
    <row r="4">
      <c r="A4" s="120" t="s">
        <v>115</v>
      </c>
      <c r="B4" s="121" t="s">
        <v>19</v>
      </c>
      <c r="C4" s="121" t="s">
        <v>22</v>
      </c>
      <c r="D4" s="68">
        <v>250000.0</v>
      </c>
      <c r="E4" s="122" t="s">
        <v>116</v>
      </c>
      <c r="F4" s="123"/>
      <c r="G4" s="49" t="s">
        <v>51</v>
      </c>
      <c r="H4" s="52">
        <f>D21</f>
        <v>864514.1414</v>
      </c>
      <c r="I4" s="53">
        <v>1.0</v>
      </c>
      <c r="K4" s="181">
        <v>0.9</v>
      </c>
      <c r="L4" s="182">
        <v>7.0</v>
      </c>
      <c r="M4" s="182">
        <v>6.0</v>
      </c>
      <c r="N4" s="182">
        <v>6.0</v>
      </c>
      <c r="O4" s="182">
        <v>4.0</v>
      </c>
    </row>
    <row r="5">
      <c r="A5" s="75" t="s">
        <v>158</v>
      </c>
      <c r="B5" s="48" t="s">
        <v>234</v>
      </c>
      <c r="C5" s="48" t="s">
        <v>24</v>
      </c>
      <c r="D5" s="68">
        <v>46428.571428571435</v>
      </c>
      <c r="E5" s="118" t="s">
        <v>229</v>
      </c>
      <c r="F5" s="119"/>
      <c r="G5" s="60" t="s">
        <v>58</v>
      </c>
      <c r="H5" s="66">
        <f>SUM(D6,D8,D12,D17,D18,D20,D16)</f>
        <v>34691.07</v>
      </c>
      <c r="I5" s="61">
        <f>H5/H4</f>
        <v>0.04012782248</v>
      </c>
      <c r="K5" s="181">
        <v>0.75</v>
      </c>
      <c r="L5" s="182">
        <v>1.0</v>
      </c>
      <c r="M5" s="182">
        <v>1.0</v>
      </c>
      <c r="N5" s="182">
        <v>3.0</v>
      </c>
      <c r="O5" s="182">
        <v>3.0</v>
      </c>
    </row>
    <row r="6">
      <c r="A6" s="120" t="s">
        <v>173</v>
      </c>
      <c r="B6" s="121" t="s">
        <v>19</v>
      </c>
      <c r="C6" s="121" t="s">
        <v>7</v>
      </c>
      <c r="D6" s="55">
        <v>19489.65</v>
      </c>
      <c r="E6" s="122" t="s">
        <v>25</v>
      </c>
      <c r="F6" s="123"/>
      <c r="G6" s="60" t="s">
        <v>61</v>
      </c>
      <c r="H6" s="66">
        <f>SUM(D3,D10,D11)</f>
        <v>509032.5</v>
      </c>
      <c r="I6" s="61">
        <f>H6/H4</f>
        <v>0.5888076037</v>
      </c>
      <c r="K6" s="181">
        <v>0.6</v>
      </c>
      <c r="L6" s="182">
        <v>2.0</v>
      </c>
      <c r="M6" s="182">
        <v>4.0</v>
      </c>
      <c r="N6" s="182">
        <v>1.0</v>
      </c>
      <c r="O6" s="182">
        <v>3.0</v>
      </c>
    </row>
    <row r="7">
      <c r="A7" s="180" t="s">
        <v>244</v>
      </c>
      <c r="B7" s="48" t="s">
        <v>234</v>
      </c>
      <c r="C7" s="48" t="s">
        <v>74</v>
      </c>
      <c r="D7" s="68">
        <v>13750.0</v>
      </c>
      <c r="E7" s="118" t="s">
        <v>229</v>
      </c>
      <c r="F7" s="119"/>
      <c r="G7" s="60" t="s">
        <v>64</v>
      </c>
      <c r="H7" s="66">
        <f>SUM(D4:D5,D7,D9,D13:D15,D19)</f>
        <v>320790.5714</v>
      </c>
      <c r="I7" s="61">
        <f>H7/H4</f>
        <v>0.3710645738</v>
      </c>
      <c r="K7" s="181">
        <v>0.5</v>
      </c>
      <c r="L7" s="182">
        <v>15.0</v>
      </c>
      <c r="M7" s="182">
        <v>16.0</v>
      </c>
      <c r="N7" s="182">
        <v>15.0</v>
      </c>
      <c r="O7" s="182">
        <v>19.0</v>
      </c>
    </row>
    <row r="8">
      <c r="A8" s="183" t="s">
        <v>246</v>
      </c>
      <c r="B8" s="121" t="s">
        <v>234</v>
      </c>
      <c r="C8" s="121" t="s">
        <v>24</v>
      </c>
      <c r="D8" s="55">
        <v>9471.42</v>
      </c>
      <c r="E8" s="118" t="s">
        <v>229</v>
      </c>
      <c r="F8" s="123"/>
      <c r="K8" s="181">
        <v>0.25</v>
      </c>
      <c r="L8" s="182">
        <v>22.0</v>
      </c>
      <c r="M8" s="182">
        <v>17.0</v>
      </c>
      <c r="N8" s="182">
        <v>13.0</v>
      </c>
      <c r="O8" s="182">
        <v>16.0</v>
      </c>
    </row>
    <row r="9">
      <c r="A9" s="184" t="s">
        <v>247</v>
      </c>
      <c r="B9" s="48" t="s">
        <v>19</v>
      </c>
      <c r="C9" s="48" t="s">
        <v>7</v>
      </c>
      <c r="D9" s="68">
        <v>5208.0</v>
      </c>
      <c r="E9" s="118" t="s">
        <v>248</v>
      </c>
      <c r="F9" s="48" t="s">
        <v>249</v>
      </c>
      <c r="G9" s="1" t="s">
        <v>66</v>
      </c>
      <c r="H9" s="109">
        <f>SUM(D6,D12,D17,D18,D20,D16)</f>
        <v>25219.65</v>
      </c>
      <c r="K9" s="181">
        <v>0.1</v>
      </c>
      <c r="L9" s="182">
        <v>18.0</v>
      </c>
      <c r="M9" s="182">
        <v>25.0</v>
      </c>
      <c r="N9" s="182">
        <v>18.0</v>
      </c>
      <c r="O9" s="182">
        <v>19.0</v>
      </c>
    </row>
    <row r="10">
      <c r="A10" s="183" t="s">
        <v>149</v>
      </c>
      <c r="B10" s="121" t="s">
        <v>234</v>
      </c>
      <c r="C10" s="121" t="s">
        <v>24</v>
      </c>
      <c r="D10" s="70">
        <v>5032.5</v>
      </c>
      <c r="E10" s="118" t="s">
        <v>26</v>
      </c>
      <c r="F10" s="123"/>
      <c r="G10" s="1" t="s">
        <v>70</v>
      </c>
      <c r="H10" s="109">
        <f>D8</f>
        <v>9471.42</v>
      </c>
    </row>
    <row r="11">
      <c r="A11" s="180" t="s">
        <v>250</v>
      </c>
      <c r="B11" s="48" t="s">
        <v>4</v>
      </c>
      <c r="C11" s="48" t="s">
        <v>251</v>
      </c>
      <c r="D11" s="70">
        <v>4000.0</v>
      </c>
      <c r="E11" s="118" t="s">
        <v>116</v>
      </c>
      <c r="F11" s="119"/>
      <c r="G11" s="71" t="s">
        <v>71</v>
      </c>
      <c r="H11" s="113">
        <f>SUM(H9:H10)</f>
        <v>34691.07</v>
      </c>
      <c r="I11" s="47"/>
      <c r="K11" s="185" t="s">
        <v>93</v>
      </c>
      <c r="L11" s="186">
        <f t="shared" ref="L11:O11" si="1">SUM(L3:L9)</f>
        <v>96</v>
      </c>
      <c r="M11" s="186">
        <f t="shared" si="1"/>
        <v>108</v>
      </c>
      <c r="N11" s="186">
        <f t="shared" si="1"/>
        <v>101</v>
      </c>
      <c r="O11" s="186">
        <f t="shared" si="1"/>
        <v>112</v>
      </c>
    </row>
    <row r="12">
      <c r="A12" s="187" t="s">
        <v>130</v>
      </c>
      <c r="B12" s="121" t="s">
        <v>19</v>
      </c>
      <c r="C12" s="121" t="s">
        <v>7</v>
      </c>
      <c r="D12" s="55">
        <v>2085.0</v>
      </c>
      <c r="E12" s="122" t="s">
        <v>248</v>
      </c>
      <c r="F12" s="123"/>
    </row>
    <row r="13">
      <c r="A13" s="184" t="s">
        <v>253</v>
      </c>
      <c r="B13" s="48" t="s">
        <v>19</v>
      </c>
      <c r="C13" s="48" t="s">
        <v>7</v>
      </c>
      <c r="D13" s="68">
        <v>1953.0</v>
      </c>
      <c r="E13" s="118" t="s">
        <v>248</v>
      </c>
      <c r="F13" s="119"/>
    </row>
    <row r="14">
      <c r="A14" s="183" t="s">
        <v>254</v>
      </c>
      <c r="B14" s="121" t="s">
        <v>19</v>
      </c>
      <c r="C14" s="121" t="s">
        <v>39</v>
      </c>
      <c r="D14" s="68">
        <v>1800.0</v>
      </c>
      <c r="E14" s="122" t="s">
        <v>27</v>
      </c>
      <c r="F14" s="123"/>
      <c r="G14" s="6" t="s">
        <v>85</v>
      </c>
      <c r="H14" s="6" t="s">
        <v>193</v>
      </c>
    </row>
    <row r="15">
      <c r="A15" s="180" t="s">
        <v>239</v>
      </c>
      <c r="B15" s="48" t="s">
        <v>19</v>
      </c>
      <c r="C15" s="48" t="s">
        <v>39</v>
      </c>
      <c r="D15" s="68">
        <v>1000.0</v>
      </c>
      <c r="E15" s="118" t="s">
        <v>27</v>
      </c>
      <c r="F15" s="119"/>
      <c r="G15" s="34" t="s">
        <v>24</v>
      </c>
      <c r="H15" s="188">
        <v>0.0</v>
      </c>
    </row>
    <row r="16">
      <c r="A16" s="187" t="s">
        <v>132</v>
      </c>
      <c r="B16" s="121" t="s">
        <v>19</v>
      </c>
      <c r="C16" s="121" t="s">
        <v>7</v>
      </c>
      <c r="D16" s="55">
        <v>1302.0</v>
      </c>
      <c r="E16" s="122" t="s">
        <v>27</v>
      </c>
      <c r="F16" s="123"/>
      <c r="G16" s="34" t="s">
        <v>7</v>
      </c>
      <c r="H16" s="189">
        <f>SUM(D6,D12,D16,D17,D18,D20)</f>
        <v>25219.65</v>
      </c>
    </row>
    <row r="17">
      <c r="A17" s="184" t="s">
        <v>257</v>
      </c>
      <c r="B17" s="48" t="s">
        <v>19</v>
      </c>
      <c r="C17" s="48" t="s">
        <v>7</v>
      </c>
      <c r="D17" s="55">
        <v>1041.0</v>
      </c>
      <c r="E17" s="118" t="s">
        <v>248</v>
      </c>
      <c r="F17" s="119"/>
      <c r="G17" s="34" t="s">
        <v>251</v>
      </c>
      <c r="H17" s="189">
        <f>D8</f>
        <v>9471.42</v>
      </c>
    </row>
    <row r="18">
      <c r="A18" s="120" t="s">
        <v>258</v>
      </c>
      <c r="B18" s="121" t="s">
        <v>19</v>
      </c>
      <c r="C18" s="121" t="s">
        <v>7</v>
      </c>
      <c r="D18" s="55">
        <v>651.0</v>
      </c>
      <c r="E18" s="122" t="s">
        <v>248</v>
      </c>
      <c r="F18" s="123"/>
    </row>
    <row r="19">
      <c r="A19" s="180" t="s">
        <v>237</v>
      </c>
      <c r="B19" s="48" t="s">
        <v>19</v>
      </c>
      <c r="C19" s="48" t="s">
        <v>7</v>
      </c>
      <c r="D19" s="68">
        <v>651.0</v>
      </c>
      <c r="E19" s="118" t="s">
        <v>248</v>
      </c>
      <c r="F19" s="119"/>
    </row>
    <row r="20">
      <c r="A20" s="187" t="s">
        <v>135</v>
      </c>
      <c r="B20" s="121" t="s">
        <v>19</v>
      </c>
      <c r="C20" s="121" t="s">
        <v>7</v>
      </c>
      <c r="D20" s="55">
        <v>651.0</v>
      </c>
      <c r="E20" s="122" t="s">
        <v>248</v>
      </c>
      <c r="F20" s="123"/>
    </row>
    <row r="21">
      <c r="A21" s="139" t="s">
        <v>93</v>
      </c>
      <c r="B21" s="140"/>
      <c r="C21" s="140"/>
      <c r="D21" s="141">
        <f>SUM(D3:D20)</f>
        <v>864514.1414</v>
      </c>
      <c r="E21" s="142"/>
      <c r="F21" s="119"/>
    </row>
  </sheetData>
  <mergeCells count="2">
    <mergeCell ref="A1:E1"/>
    <mergeCell ref="A21:C21"/>
  </mergeCells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63"/>
    <col customWidth="1" min="2" max="2" width="9.13"/>
    <col customWidth="1" min="3" max="3" width="12.38"/>
    <col customWidth="1" min="4" max="4" width="10.25"/>
    <col customWidth="1" min="5" max="5" width="13.5"/>
    <col customWidth="1" min="7" max="7" width="13.63"/>
    <col customWidth="1" min="8" max="8" width="11.63"/>
    <col customWidth="1" min="9" max="9" width="5.25"/>
    <col customWidth="1" min="10" max="10" width="9.38"/>
    <col customWidth="1" min="11" max="11" width="8.13"/>
    <col customWidth="1" min="12" max="13" width="9.38"/>
    <col customWidth="1" min="14" max="14" width="13.88"/>
  </cols>
  <sheetData>
    <row r="2">
      <c r="A2" s="8" t="s">
        <v>255</v>
      </c>
      <c r="B2" s="9"/>
      <c r="C2" s="9"/>
      <c r="D2" s="9"/>
      <c r="E2" s="10"/>
    </row>
    <row r="3">
      <c r="A3" s="114" t="s">
        <v>11</v>
      </c>
      <c r="B3" s="116" t="s">
        <v>12</v>
      </c>
      <c r="C3" s="116" t="s">
        <v>13</v>
      </c>
      <c r="D3" s="116" t="s">
        <v>14</v>
      </c>
      <c r="E3" s="117" t="s">
        <v>15</v>
      </c>
      <c r="H3" s="2" t="s">
        <v>48</v>
      </c>
      <c r="K3" s="6" t="s">
        <v>221</v>
      </c>
      <c r="L3" s="6" t="s">
        <v>222</v>
      </c>
      <c r="M3" s="6" t="s">
        <v>223</v>
      </c>
      <c r="N3" s="6" t="s">
        <v>224</v>
      </c>
    </row>
    <row r="4">
      <c r="A4" s="36" t="s">
        <v>256</v>
      </c>
      <c r="B4" s="1" t="s">
        <v>19</v>
      </c>
      <c r="C4" s="1" t="s">
        <v>39</v>
      </c>
      <c r="D4" s="70">
        <v>553571.4285714286</v>
      </c>
      <c r="E4" s="23" t="s">
        <v>27</v>
      </c>
      <c r="G4" s="49" t="s">
        <v>51</v>
      </c>
      <c r="H4" s="52">
        <f>SUM(D4:D24)</f>
        <v>1069360.27</v>
      </c>
      <c r="I4" s="53">
        <v>1.0</v>
      </c>
      <c r="K4" s="181">
        <v>1.0</v>
      </c>
      <c r="L4" s="182">
        <v>31.0</v>
      </c>
      <c r="M4" s="182">
        <v>39.0</v>
      </c>
      <c r="N4" s="182">
        <v>45.0</v>
      </c>
    </row>
    <row r="5">
      <c r="A5" s="100" t="s">
        <v>126</v>
      </c>
      <c r="B5" s="71" t="s">
        <v>23</v>
      </c>
      <c r="C5" s="71" t="s">
        <v>98</v>
      </c>
      <c r="D5" s="70">
        <v>267857.1428571429</v>
      </c>
      <c r="E5" s="23" t="s">
        <v>116</v>
      </c>
      <c r="G5" s="60" t="s">
        <v>58</v>
      </c>
      <c r="H5" s="66">
        <f>SUM(D8,D13,D16,D17,D18)</f>
        <v>55831</v>
      </c>
      <c r="I5" s="61">
        <f>H5/H4</f>
        <v>0.05220971974</v>
      </c>
      <c r="K5" s="181">
        <v>0.9</v>
      </c>
      <c r="L5" s="182">
        <v>7.0</v>
      </c>
      <c r="M5" s="182">
        <v>6.0</v>
      </c>
      <c r="N5" s="182">
        <v>6.0</v>
      </c>
    </row>
    <row r="6">
      <c r="A6" s="36" t="s">
        <v>260</v>
      </c>
      <c r="B6" s="1" t="s">
        <v>23</v>
      </c>
      <c r="C6" s="1" t="s">
        <v>24</v>
      </c>
      <c r="D6" s="68">
        <v>62279.27</v>
      </c>
      <c r="E6" s="57" t="s">
        <v>202</v>
      </c>
      <c r="G6" s="60" t="s">
        <v>61</v>
      </c>
      <c r="H6" s="66">
        <f>SUM(D11,D4, D5, D12)</f>
        <v>846428.5714</v>
      </c>
      <c r="I6" s="61">
        <f>H6/H4</f>
        <v>0.7915279772</v>
      </c>
      <c r="K6" s="181">
        <v>0.75</v>
      </c>
      <c r="L6" s="182">
        <v>1.0</v>
      </c>
      <c r="M6" s="182">
        <v>1.0</v>
      </c>
      <c r="N6" s="182">
        <v>3.0</v>
      </c>
    </row>
    <row r="7">
      <c r="A7" s="36" t="s">
        <v>158</v>
      </c>
      <c r="B7" s="1" t="s">
        <v>23</v>
      </c>
      <c r="C7" s="1" t="s">
        <v>24</v>
      </c>
      <c r="D7" s="68">
        <v>46428.571428571435</v>
      </c>
      <c r="E7" s="57" t="s">
        <v>229</v>
      </c>
      <c r="G7" s="60" t="s">
        <v>64</v>
      </c>
      <c r="H7" s="66">
        <f>SUM(D6,D7,D9,D10,D14,D15)</f>
        <v>167100.6986</v>
      </c>
      <c r="I7" s="61">
        <f>H7/H4</f>
        <v>0.156262303</v>
      </c>
      <c r="K7" s="181">
        <v>0.6</v>
      </c>
      <c r="L7" s="182">
        <v>2.0</v>
      </c>
      <c r="M7" s="182">
        <v>4.0</v>
      </c>
      <c r="N7" s="182">
        <v>1.0</v>
      </c>
    </row>
    <row r="8">
      <c r="A8" s="36" t="s">
        <v>112</v>
      </c>
      <c r="B8" s="1" t="s">
        <v>19</v>
      </c>
      <c r="C8" s="71" t="s">
        <v>7</v>
      </c>
      <c r="D8" s="55">
        <v>46000.0</v>
      </c>
      <c r="E8" s="23" t="s">
        <v>248</v>
      </c>
      <c r="K8" s="181">
        <v>0.5</v>
      </c>
      <c r="L8" s="182">
        <v>15.0</v>
      </c>
      <c r="M8" s="182">
        <v>16.0</v>
      </c>
      <c r="N8" s="182">
        <v>15.0</v>
      </c>
    </row>
    <row r="9">
      <c r="A9" s="75" t="s">
        <v>18</v>
      </c>
      <c r="B9" s="48" t="s">
        <v>23</v>
      </c>
      <c r="C9" s="48" t="s">
        <v>24</v>
      </c>
      <c r="D9" s="68">
        <v>32142.857142857145</v>
      </c>
      <c r="E9" s="118" t="s">
        <v>25</v>
      </c>
      <c r="G9" s="48" t="s">
        <v>66</v>
      </c>
      <c r="H9" s="135">
        <f>SUM(D8,D13,D16,D17,D18)</f>
        <v>55831</v>
      </c>
      <c r="J9" s="150"/>
      <c r="K9" s="166">
        <v>0.25</v>
      </c>
      <c r="L9" s="167">
        <v>22.0</v>
      </c>
      <c r="M9" s="167">
        <v>17.0</v>
      </c>
      <c r="N9" s="167">
        <v>13.0</v>
      </c>
    </row>
    <row r="10">
      <c r="A10" s="120" t="s">
        <v>262</v>
      </c>
      <c r="B10" s="121" t="s">
        <v>19</v>
      </c>
      <c r="C10" s="121" t="s">
        <v>7</v>
      </c>
      <c r="D10" s="68">
        <v>18571.428571428572</v>
      </c>
      <c r="E10" s="122" t="s">
        <v>25</v>
      </c>
      <c r="G10" s="121" t="s">
        <v>70</v>
      </c>
      <c r="H10" s="134">
        <v>0.0</v>
      </c>
      <c r="J10" s="137"/>
      <c r="K10" s="164">
        <v>0.1</v>
      </c>
      <c r="L10" s="165">
        <v>18.0</v>
      </c>
      <c r="M10" s="165">
        <v>25.0</v>
      </c>
      <c r="N10" s="165">
        <v>18.0</v>
      </c>
    </row>
    <row r="11">
      <c r="A11" s="75" t="s">
        <v>263</v>
      </c>
      <c r="B11" s="48" t="s">
        <v>19</v>
      </c>
      <c r="C11" s="48" t="s">
        <v>39</v>
      </c>
      <c r="D11" s="70">
        <v>16071.428571428572</v>
      </c>
      <c r="E11" s="118" t="s">
        <v>248</v>
      </c>
      <c r="J11" s="150"/>
    </row>
    <row r="12">
      <c r="A12" s="120" t="s">
        <v>264</v>
      </c>
      <c r="B12" s="121" t="s">
        <v>19</v>
      </c>
      <c r="C12" s="121" t="s">
        <v>39</v>
      </c>
      <c r="D12" s="70">
        <v>8928.57142857143</v>
      </c>
      <c r="E12" s="122" t="s">
        <v>248</v>
      </c>
      <c r="G12" s="152" t="s">
        <v>78</v>
      </c>
      <c r="H12" s="152" t="s">
        <v>193</v>
      </c>
      <c r="J12" s="137"/>
      <c r="K12" s="165" t="s">
        <v>93</v>
      </c>
      <c r="L12" s="178">
        <f t="shared" ref="L12:N12" si="1">SUM(L4:L10)</f>
        <v>96</v>
      </c>
      <c r="M12" s="178">
        <f t="shared" si="1"/>
        <v>108</v>
      </c>
      <c r="N12" s="178">
        <f t="shared" si="1"/>
        <v>101</v>
      </c>
    </row>
    <row r="13">
      <c r="A13" s="75" t="s">
        <v>265</v>
      </c>
      <c r="B13" s="48" t="s">
        <v>19</v>
      </c>
      <c r="C13" s="48" t="s">
        <v>7</v>
      </c>
      <c r="D13" s="55">
        <v>6707.0</v>
      </c>
      <c r="E13" s="118" t="s">
        <v>248</v>
      </c>
      <c r="F13" s="119"/>
      <c r="G13" s="153" t="s">
        <v>24</v>
      </c>
      <c r="H13" s="154">
        <v>0.0</v>
      </c>
      <c r="J13" s="150"/>
      <c r="K13" s="150"/>
      <c r="L13" s="150"/>
      <c r="M13" s="150"/>
      <c r="N13" s="150"/>
    </row>
    <row r="14">
      <c r="A14" s="120" t="s">
        <v>266</v>
      </c>
      <c r="B14" s="121" t="s">
        <v>23</v>
      </c>
      <c r="C14" s="121" t="s">
        <v>74</v>
      </c>
      <c r="D14" s="190">
        <f>23000/5.6</f>
        <v>4107.142857</v>
      </c>
      <c r="E14" s="122" t="s">
        <v>33</v>
      </c>
      <c r="F14" s="123"/>
      <c r="G14" s="145" t="s">
        <v>7</v>
      </c>
      <c r="H14" s="146">
        <f>SUM(D8,D13,D16,D17,D18)</f>
        <v>55831</v>
      </c>
      <c r="J14" s="137"/>
      <c r="K14" s="137"/>
      <c r="L14" s="137"/>
      <c r="M14" s="137"/>
      <c r="N14" s="137"/>
    </row>
    <row r="15">
      <c r="A15" s="75" t="s">
        <v>267</v>
      </c>
      <c r="B15" s="48" t="s">
        <v>23</v>
      </c>
      <c r="C15" s="48" t="s">
        <v>251</v>
      </c>
      <c r="D15" s="68">
        <v>3571.4285714285716</v>
      </c>
      <c r="E15" s="118" t="s">
        <v>116</v>
      </c>
      <c r="F15" s="119"/>
      <c r="G15" s="153" t="s">
        <v>251</v>
      </c>
      <c r="H15" s="155"/>
      <c r="J15" s="150"/>
      <c r="K15" s="150"/>
      <c r="L15" s="150"/>
      <c r="M15" s="150"/>
      <c r="N15" s="150"/>
    </row>
    <row r="16">
      <c r="A16" s="120" t="s">
        <v>143</v>
      </c>
      <c r="B16" s="121" t="s">
        <v>19</v>
      </c>
      <c r="C16" s="121" t="s">
        <v>7</v>
      </c>
      <c r="D16" s="55">
        <v>1388.0</v>
      </c>
      <c r="E16" s="122" t="s">
        <v>248</v>
      </c>
      <c r="F16" s="123"/>
      <c r="J16" s="137"/>
      <c r="K16" s="137"/>
      <c r="L16" s="137"/>
      <c r="M16" s="137"/>
      <c r="N16" s="137"/>
    </row>
    <row r="17">
      <c r="A17" s="75" t="s">
        <v>214</v>
      </c>
      <c r="B17" s="48" t="s">
        <v>19</v>
      </c>
      <c r="C17" s="48" t="s">
        <v>7</v>
      </c>
      <c r="D17" s="55">
        <v>1085.0</v>
      </c>
      <c r="E17" s="118" t="s">
        <v>248</v>
      </c>
      <c r="F17" s="119"/>
      <c r="G17" s="119"/>
      <c r="H17" s="119"/>
      <c r="I17" s="119"/>
      <c r="J17" s="119"/>
      <c r="K17" s="119"/>
      <c r="L17" s="119"/>
      <c r="M17" s="119"/>
      <c r="N17" s="119"/>
    </row>
    <row r="18">
      <c r="A18" s="191" t="s">
        <v>134</v>
      </c>
      <c r="B18" s="192" t="s">
        <v>19</v>
      </c>
      <c r="C18" s="192" t="s">
        <v>7</v>
      </c>
      <c r="D18" s="193">
        <v>651.0</v>
      </c>
      <c r="E18" s="194" t="s">
        <v>248</v>
      </c>
      <c r="F18" s="123"/>
      <c r="G18" s="123"/>
      <c r="H18" s="123"/>
      <c r="I18" s="123"/>
      <c r="J18" s="123"/>
      <c r="K18" s="195"/>
      <c r="N18" s="123"/>
    </row>
    <row r="19">
      <c r="A19" s="48"/>
      <c r="B19" s="48"/>
      <c r="C19" s="48"/>
      <c r="D19" s="147"/>
      <c r="E19" s="48"/>
      <c r="F19" s="119"/>
      <c r="G19" s="119"/>
      <c r="H19" s="119"/>
      <c r="I19" s="119"/>
      <c r="J19" s="119"/>
      <c r="K19" s="196"/>
      <c r="L19" s="196"/>
      <c r="M19" s="119"/>
      <c r="N19" s="119"/>
    </row>
    <row r="20">
      <c r="F20" s="123"/>
      <c r="G20" s="123"/>
      <c r="K20" s="121"/>
      <c r="L20" s="197"/>
      <c r="M20" s="121"/>
    </row>
    <row r="21">
      <c r="A21" s="48"/>
      <c r="B21" s="48"/>
      <c r="C21" s="48"/>
      <c r="D21" s="147"/>
      <c r="E21" s="48"/>
      <c r="F21" s="119"/>
      <c r="G21" s="119"/>
      <c r="K21" s="48"/>
      <c r="L21" s="22"/>
      <c r="M21" s="48"/>
    </row>
    <row r="22">
      <c r="A22" s="48"/>
      <c r="B22" s="121"/>
      <c r="C22" s="121"/>
      <c r="D22" s="130"/>
      <c r="E22" s="121"/>
      <c r="F22" s="123"/>
      <c r="G22" s="123"/>
      <c r="K22" s="121"/>
      <c r="L22" s="197"/>
      <c r="M22" s="121"/>
    </row>
    <row r="23">
      <c r="A23" s="48"/>
      <c r="B23" s="48"/>
      <c r="C23" s="48"/>
      <c r="D23" s="147"/>
      <c r="E23" s="48"/>
      <c r="F23" s="119"/>
      <c r="G23" s="119"/>
      <c r="H23" s="119"/>
      <c r="I23" s="119"/>
      <c r="J23" s="119"/>
      <c r="K23" s="119"/>
      <c r="L23" s="119"/>
      <c r="M23" s="119"/>
      <c r="N23" s="119"/>
    </row>
    <row r="25">
      <c r="K25" s="1"/>
    </row>
  </sheetData>
  <mergeCells count="2">
    <mergeCell ref="A2:E2"/>
    <mergeCell ref="K18:M1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88"/>
    <col customWidth="1" min="2" max="2" width="9.13"/>
    <col customWidth="1" min="3" max="3" width="17.38"/>
    <col customWidth="1" min="4" max="4" width="11.88"/>
    <col customWidth="1" min="5" max="5" width="13.5"/>
    <col customWidth="1" min="7" max="7" width="13.63"/>
    <col customWidth="1" min="8" max="8" width="11.88"/>
    <col customWidth="1" min="9" max="9" width="7.5"/>
  </cols>
  <sheetData>
    <row r="1">
      <c r="A1" s="198" t="s">
        <v>268</v>
      </c>
      <c r="B1" s="4"/>
      <c r="C1" s="4"/>
      <c r="D1" s="4"/>
      <c r="E1" s="5"/>
    </row>
    <row r="2">
      <c r="A2" s="199" t="s">
        <v>11</v>
      </c>
      <c r="B2" s="199" t="s">
        <v>12</v>
      </c>
      <c r="C2" s="199" t="s">
        <v>13</v>
      </c>
      <c r="D2" s="199" t="s">
        <v>14</v>
      </c>
      <c r="E2" s="199" t="s">
        <v>15</v>
      </c>
    </row>
    <row r="3">
      <c r="A3" s="34" t="s">
        <v>269</v>
      </c>
      <c r="B3" s="34" t="s">
        <v>3</v>
      </c>
      <c r="C3" s="200" t="s">
        <v>270</v>
      </c>
      <c r="D3" s="201">
        <f>237150/6</f>
        <v>39525</v>
      </c>
      <c r="E3" s="200" t="s">
        <v>271</v>
      </c>
      <c r="H3" s="2" t="s">
        <v>48</v>
      </c>
      <c r="K3" s="6" t="s">
        <v>272</v>
      </c>
      <c r="L3" s="6" t="s">
        <v>222</v>
      </c>
      <c r="M3" s="6" t="s">
        <v>223</v>
      </c>
    </row>
    <row r="4">
      <c r="A4" s="34" t="s">
        <v>273</v>
      </c>
      <c r="B4" s="34" t="s">
        <v>4</v>
      </c>
      <c r="C4" s="200" t="s">
        <v>74</v>
      </c>
      <c r="D4" s="202">
        <v>31666.666666666668</v>
      </c>
      <c r="E4" s="200" t="s">
        <v>33</v>
      </c>
      <c r="G4" s="49" t="s">
        <v>51</v>
      </c>
      <c r="H4" s="52">
        <f>SUM(D3:D23)</f>
        <v>200646.7276</v>
      </c>
      <c r="I4" s="53">
        <v>1.0</v>
      </c>
      <c r="K4" s="181">
        <v>1.0</v>
      </c>
      <c r="L4" s="182">
        <v>31.0</v>
      </c>
      <c r="M4" s="182">
        <v>39.0</v>
      </c>
    </row>
    <row r="5">
      <c r="A5" s="34" t="s">
        <v>274</v>
      </c>
      <c r="B5" s="34" t="s">
        <v>3</v>
      </c>
      <c r="C5" s="34" t="s">
        <v>39</v>
      </c>
      <c r="D5" s="202">
        <v>28333.333333333332</v>
      </c>
      <c r="E5" s="34" t="s">
        <v>229</v>
      </c>
      <c r="F5" s="150"/>
      <c r="G5" s="60" t="s">
        <v>58</v>
      </c>
      <c r="H5" s="66">
        <f>SUM(D7,D8,D11,D17,D19,D22,D23)</f>
        <v>44537.33429</v>
      </c>
      <c r="I5" s="61">
        <f>H5/H4</f>
        <v>0.2219689043</v>
      </c>
      <c r="K5" s="181">
        <v>0.9</v>
      </c>
      <c r="L5" s="182">
        <v>7.0</v>
      </c>
      <c r="M5" s="182">
        <v>6.0</v>
      </c>
    </row>
    <row r="6">
      <c r="A6" s="34" t="s">
        <v>115</v>
      </c>
      <c r="B6" s="34" t="s">
        <v>3</v>
      </c>
      <c r="C6" s="200" t="s">
        <v>22</v>
      </c>
      <c r="D6" s="203">
        <v>25000.0</v>
      </c>
      <c r="E6" s="200" t="s">
        <v>275</v>
      </c>
      <c r="F6" s="150"/>
      <c r="G6" s="60" t="s">
        <v>61</v>
      </c>
      <c r="H6" s="66">
        <f>SUM(D4,D5,D20)</f>
        <v>60651</v>
      </c>
      <c r="I6" s="61">
        <f>H6/H4</f>
        <v>0.3022775438</v>
      </c>
      <c r="K6" s="181">
        <v>0.75</v>
      </c>
      <c r="L6" s="182">
        <v>1.0</v>
      </c>
      <c r="M6" s="182">
        <v>1.0</v>
      </c>
    </row>
    <row r="7">
      <c r="A7" s="34" t="s">
        <v>112</v>
      </c>
      <c r="B7" s="34" t="s">
        <v>4</v>
      </c>
      <c r="C7" s="34" t="s">
        <v>24</v>
      </c>
      <c r="D7" s="204">
        <v>25000.0</v>
      </c>
      <c r="E7" s="200" t="s">
        <v>106</v>
      </c>
      <c r="F7" s="150"/>
      <c r="G7" s="60" t="s">
        <v>64</v>
      </c>
      <c r="H7" s="66">
        <f>SUM(D6,D9,D12,D13,D18)</f>
        <v>41828.39333</v>
      </c>
      <c r="I7" s="61">
        <f>H7/H4</f>
        <v>0.2084678571</v>
      </c>
      <c r="K7" s="181">
        <v>0.6</v>
      </c>
      <c r="L7" s="182">
        <v>2.0</v>
      </c>
      <c r="M7" s="182">
        <v>4.0</v>
      </c>
    </row>
    <row r="8">
      <c r="A8" s="34" t="s">
        <v>278</v>
      </c>
      <c r="B8" s="34" t="s">
        <v>4</v>
      </c>
      <c r="C8" s="34" t="s">
        <v>24</v>
      </c>
      <c r="D8" s="206">
        <f>59000/5.6</f>
        <v>10535.71429</v>
      </c>
      <c r="E8" s="200" t="s">
        <v>106</v>
      </c>
      <c r="F8" s="150"/>
      <c r="K8" s="181">
        <v>0.5</v>
      </c>
      <c r="L8" s="182">
        <v>15.0</v>
      </c>
      <c r="M8" s="182">
        <v>16.0</v>
      </c>
    </row>
    <row r="9">
      <c r="A9" s="200" t="s">
        <v>280</v>
      </c>
      <c r="B9" s="200" t="s">
        <v>4</v>
      </c>
      <c r="C9" s="200" t="s">
        <v>251</v>
      </c>
      <c r="D9" s="190">
        <v>8666.666666666666</v>
      </c>
      <c r="E9" s="34" t="s">
        <v>26</v>
      </c>
      <c r="F9" s="150"/>
      <c r="G9" s="1" t="s">
        <v>66</v>
      </c>
      <c r="H9" s="109">
        <f>SUM(,D19,D22,D23)</f>
        <v>1872</v>
      </c>
      <c r="K9" s="181">
        <v>0.25</v>
      </c>
      <c r="L9" s="182">
        <v>22.0</v>
      </c>
      <c r="M9" s="182">
        <v>17.0</v>
      </c>
    </row>
    <row r="10">
      <c r="A10" s="34" t="s">
        <v>263</v>
      </c>
      <c r="B10" s="34" t="s">
        <v>3</v>
      </c>
      <c r="C10" s="34" t="s">
        <v>39</v>
      </c>
      <c r="D10" s="201">
        <v>8316.666666666666</v>
      </c>
      <c r="E10" s="34" t="s">
        <v>248</v>
      </c>
      <c r="F10" s="150"/>
      <c r="G10" s="1" t="s">
        <v>70</v>
      </c>
      <c r="H10" s="109">
        <f>SUM(D7,D8,D11,D17)</f>
        <v>42665.33429</v>
      </c>
      <c r="K10" s="181">
        <v>0.1</v>
      </c>
      <c r="L10" s="182">
        <v>18.0</v>
      </c>
      <c r="M10" s="182">
        <v>25.0</v>
      </c>
    </row>
    <row r="11">
      <c r="A11" s="34" t="s">
        <v>203</v>
      </c>
      <c r="B11" s="34" t="s">
        <v>4</v>
      </c>
      <c r="C11" s="34" t="s">
        <v>251</v>
      </c>
      <c r="D11" s="204">
        <v>6247.79</v>
      </c>
      <c r="E11" s="34" t="s">
        <v>26</v>
      </c>
      <c r="F11" s="150"/>
    </row>
    <row r="12">
      <c r="A12" s="34" t="s">
        <v>282</v>
      </c>
      <c r="B12" s="34" t="s">
        <v>3</v>
      </c>
      <c r="C12" s="200" t="s">
        <v>7</v>
      </c>
      <c r="D12" s="203">
        <v>4164.0</v>
      </c>
      <c r="E12" s="34" t="s">
        <v>248</v>
      </c>
      <c r="F12" s="150"/>
      <c r="G12" s="6" t="s">
        <v>75</v>
      </c>
      <c r="H12" s="6" t="s">
        <v>193</v>
      </c>
    </row>
    <row r="13">
      <c r="A13" s="34" t="s">
        <v>267</v>
      </c>
      <c r="B13" s="34" t="s">
        <v>4</v>
      </c>
      <c r="C13" s="34" t="s">
        <v>251</v>
      </c>
      <c r="D13" s="203">
        <v>3166.6666666666665</v>
      </c>
      <c r="E13" s="34" t="s">
        <v>275</v>
      </c>
      <c r="F13" s="150"/>
      <c r="G13" s="34" t="s">
        <v>24</v>
      </c>
      <c r="H13" s="189">
        <f>SUM(D7:D8)</f>
        <v>35535.71429</v>
      </c>
    </row>
    <row r="14">
      <c r="A14" s="34" t="s">
        <v>152</v>
      </c>
      <c r="B14" s="34" t="s">
        <v>3</v>
      </c>
      <c r="C14" s="34" t="s">
        <v>7</v>
      </c>
      <c r="D14" s="202">
        <v>2033.3333333333333</v>
      </c>
      <c r="E14" s="34" t="s">
        <v>248</v>
      </c>
      <c r="F14" s="150"/>
      <c r="G14" s="34" t="s">
        <v>7</v>
      </c>
      <c r="H14" s="189">
        <f>SUM(D19,D22,D23)</f>
        <v>1872</v>
      </c>
    </row>
    <row r="15">
      <c r="A15" s="153" t="s">
        <v>128</v>
      </c>
      <c r="B15" s="34" t="s">
        <v>3</v>
      </c>
      <c r="C15" s="34" t="s">
        <v>283</v>
      </c>
      <c r="D15" s="201">
        <v>1904.0</v>
      </c>
      <c r="E15" s="34" t="s">
        <v>25</v>
      </c>
      <c r="F15" s="150"/>
      <c r="G15" s="34" t="s">
        <v>251</v>
      </c>
      <c r="H15" s="189">
        <f>SUM(D11,D17)</f>
        <v>7129.62</v>
      </c>
    </row>
    <row r="16">
      <c r="A16" s="153" t="s">
        <v>284</v>
      </c>
      <c r="B16" s="34" t="s">
        <v>3</v>
      </c>
      <c r="C16" s="34" t="s">
        <v>283</v>
      </c>
      <c r="D16" s="201">
        <v>1200.0</v>
      </c>
      <c r="E16" s="34" t="s">
        <v>25</v>
      </c>
      <c r="F16" s="150"/>
      <c r="H16" s="20"/>
    </row>
    <row r="17">
      <c r="A17" s="34" t="s">
        <v>203</v>
      </c>
      <c r="B17" s="34" t="s">
        <v>4</v>
      </c>
      <c r="C17" s="34" t="s">
        <v>285</v>
      </c>
      <c r="D17" s="204">
        <v>881.83</v>
      </c>
      <c r="E17" s="34" t="s">
        <v>26</v>
      </c>
      <c r="F17" s="150"/>
    </row>
    <row r="18">
      <c r="A18" s="34" t="s">
        <v>286</v>
      </c>
      <c r="B18" s="34" t="s">
        <v>3</v>
      </c>
      <c r="C18" s="34" t="s">
        <v>283</v>
      </c>
      <c r="D18" s="203">
        <v>831.06</v>
      </c>
      <c r="E18" s="34" t="s">
        <v>248</v>
      </c>
      <c r="F18" s="150"/>
    </row>
    <row r="19">
      <c r="A19" s="34" t="s">
        <v>287</v>
      </c>
      <c r="B19" s="34" t="s">
        <v>3</v>
      </c>
      <c r="C19" s="200" t="s">
        <v>7</v>
      </c>
      <c r="D19" s="211">
        <v>651.0</v>
      </c>
      <c r="E19" s="34" t="s">
        <v>248</v>
      </c>
      <c r="F19" s="150"/>
    </row>
    <row r="20">
      <c r="A20" s="34" t="s">
        <v>288</v>
      </c>
      <c r="B20" s="34" t="s">
        <v>3</v>
      </c>
      <c r="C20" s="200" t="s">
        <v>7</v>
      </c>
      <c r="D20" s="202">
        <v>651.0</v>
      </c>
      <c r="E20" s="34" t="s">
        <v>248</v>
      </c>
      <c r="F20" s="150"/>
    </row>
    <row r="21">
      <c r="A21" s="34" t="s">
        <v>141</v>
      </c>
      <c r="B21" s="34" t="s">
        <v>3</v>
      </c>
      <c r="C21" s="200" t="s">
        <v>7</v>
      </c>
      <c r="D21" s="202">
        <v>651.0</v>
      </c>
      <c r="E21" s="34" t="s">
        <v>248</v>
      </c>
      <c r="F21" s="150"/>
    </row>
    <row r="22">
      <c r="A22" s="34" t="s">
        <v>291</v>
      </c>
      <c r="B22" s="34" t="s">
        <v>3</v>
      </c>
      <c r="C22" s="200" t="s">
        <v>7</v>
      </c>
      <c r="D22" s="211">
        <v>651.0</v>
      </c>
      <c r="E22" s="34" t="s">
        <v>248</v>
      </c>
      <c r="F22" s="150"/>
    </row>
    <row r="23">
      <c r="A23" s="153" t="s">
        <v>179</v>
      </c>
      <c r="B23" s="34" t="s">
        <v>3</v>
      </c>
      <c r="C23" s="34" t="s">
        <v>283</v>
      </c>
      <c r="D23" s="213">
        <v>570.0</v>
      </c>
      <c r="E23" s="34" t="s">
        <v>248</v>
      </c>
      <c r="F23" s="150"/>
    </row>
    <row r="24">
      <c r="A24" s="200"/>
      <c r="B24" s="200"/>
      <c r="C24" s="200"/>
      <c r="D24" s="214"/>
      <c r="E24" s="200"/>
      <c r="F24" s="43"/>
    </row>
  </sheetData>
  <mergeCells count="1">
    <mergeCell ref="A1:E1"/>
  </mergeCell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88"/>
    <col customWidth="1" min="2" max="2" width="9.13"/>
    <col customWidth="1" min="3" max="3" width="17.38"/>
    <col customWidth="1" min="4" max="4" width="11.88"/>
    <col customWidth="1" min="5" max="5" width="13.5"/>
    <col customWidth="1" min="7" max="7" width="13.63"/>
    <col customWidth="1" min="8" max="8" width="11.88"/>
    <col customWidth="1" min="9" max="9" width="10.25"/>
    <col customWidth="1" min="10" max="10" width="7.5"/>
  </cols>
  <sheetData>
    <row r="1">
      <c r="A1" s="198" t="s">
        <v>277</v>
      </c>
      <c r="B1" s="4"/>
      <c r="C1" s="4"/>
      <c r="D1" s="4"/>
      <c r="E1" s="5"/>
    </row>
    <row r="2">
      <c r="A2" s="199" t="s">
        <v>11</v>
      </c>
      <c r="B2" s="199" t="s">
        <v>12</v>
      </c>
      <c r="C2" s="199" t="s">
        <v>13</v>
      </c>
      <c r="D2" s="199" t="s">
        <v>14</v>
      </c>
      <c r="E2" s="199" t="s">
        <v>15</v>
      </c>
    </row>
    <row r="3">
      <c r="A3" s="34" t="s">
        <v>279</v>
      </c>
      <c r="B3" s="34" t="s">
        <v>3</v>
      </c>
      <c r="C3" s="34" t="s">
        <v>220</v>
      </c>
      <c r="D3" s="205">
        <v>240000.0</v>
      </c>
      <c r="E3" s="34" t="s">
        <v>202</v>
      </c>
      <c r="H3" s="2" t="s">
        <v>1</v>
      </c>
      <c r="I3" s="2" t="s">
        <v>193</v>
      </c>
      <c r="L3" s="6" t="s">
        <v>272</v>
      </c>
      <c r="M3" s="6" t="s">
        <v>281</v>
      </c>
    </row>
    <row r="4">
      <c r="A4" s="34" t="s">
        <v>173</v>
      </c>
      <c r="B4" s="34" t="s">
        <v>3</v>
      </c>
      <c r="C4" s="34" t="s">
        <v>7</v>
      </c>
      <c r="D4" s="205">
        <v>113040.0</v>
      </c>
      <c r="E4" s="34" t="s">
        <v>25</v>
      </c>
      <c r="G4" s="49" t="s">
        <v>51</v>
      </c>
      <c r="H4" s="208">
        <f>SUM(D3:D22)</f>
        <v>564090.245</v>
      </c>
      <c r="I4" s="83">
        <f t="shared" ref="I4:I7" si="1">H4/5.8</f>
        <v>97256.93879</v>
      </c>
      <c r="J4" s="53">
        <v>1.0</v>
      </c>
      <c r="L4" s="181">
        <v>1.0</v>
      </c>
      <c r="M4" s="182">
        <v>31.0</v>
      </c>
    </row>
    <row r="5">
      <c r="A5" s="34" t="s">
        <v>203</v>
      </c>
      <c r="B5" s="34" t="s">
        <v>4</v>
      </c>
      <c r="C5" s="34" t="s">
        <v>251</v>
      </c>
      <c r="D5" s="205">
        <v>52500.0</v>
      </c>
      <c r="E5" s="34" t="s">
        <v>26</v>
      </c>
      <c r="G5" s="60" t="s">
        <v>58</v>
      </c>
      <c r="H5" s="20">
        <f>SUM(D10,D11,D14,D17,D18,D20,D21,D23,D16,D18,D24)</f>
        <v>61013.525</v>
      </c>
      <c r="I5" s="83">
        <f t="shared" si="1"/>
        <v>10519.57328</v>
      </c>
      <c r="J5" s="61">
        <f>I5/I4</f>
        <v>0.1081627019</v>
      </c>
      <c r="L5" s="181">
        <v>0.9</v>
      </c>
      <c r="M5" s="182">
        <v>7.0</v>
      </c>
    </row>
    <row r="6">
      <c r="A6" s="200" t="s">
        <v>280</v>
      </c>
      <c r="B6" s="200" t="s">
        <v>4</v>
      </c>
      <c r="C6" s="200" t="s">
        <v>251</v>
      </c>
      <c r="D6" s="210">
        <v>52000.0</v>
      </c>
      <c r="E6" s="34" t="s">
        <v>26</v>
      </c>
      <c r="G6" s="60" t="s">
        <v>61</v>
      </c>
      <c r="H6" s="20">
        <f>SUM(D7,D12)</f>
        <v>24114</v>
      </c>
      <c r="I6" s="83">
        <f t="shared" si="1"/>
        <v>4157.586207</v>
      </c>
      <c r="J6" s="61">
        <f>I6/I4</f>
        <v>0.04274847901</v>
      </c>
      <c r="L6" s="181">
        <v>0.75</v>
      </c>
      <c r="M6" s="182">
        <v>1.0</v>
      </c>
    </row>
    <row r="7">
      <c r="A7" s="34" t="s">
        <v>289</v>
      </c>
      <c r="B7" s="34" t="s">
        <v>3</v>
      </c>
      <c r="C7" s="34" t="s">
        <v>39</v>
      </c>
      <c r="D7" s="212">
        <v>15000.0</v>
      </c>
      <c r="E7" s="34" t="s">
        <v>26</v>
      </c>
      <c r="G7" s="60" t="s">
        <v>64</v>
      </c>
      <c r="H7" s="20">
        <f>SUM(D3:D6,D12,D15,D23)</f>
        <v>483840.36</v>
      </c>
      <c r="I7" s="83">
        <f t="shared" si="1"/>
        <v>83420.75172</v>
      </c>
      <c r="J7" s="61">
        <f>I7/I4</f>
        <v>0.8577357334</v>
      </c>
      <c r="L7" s="181">
        <v>0.6</v>
      </c>
      <c r="M7" s="182">
        <v>2.0</v>
      </c>
    </row>
    <row r="8">
      <c r="A8" s="34" t="s">
        <v>293</v>
      </c>
      <c r="B8" s="34" t="s">
        <v>4</v>
      </c>
      <c r="C8" s="34" t="s">
        <v>24</v>
      </c>
      <c r="D8" s="212">
        <v>12000.0</v>
      </c>
      <c r="E8" s="34" t="s">
        <v>271</v>
      </c>
      <c r="L8" s="181">
        <v>0.5</v>
      </c>
      <c r="M8" s="182">
        <v>15.0</v>
      </c>
    </row>
    <row r="9">
      <c r="A9" s="153" t="s">
        <v>128</v>
      </c>
      <c r="B9" s="34" t="s">
        <v>3</v>
      </c>
      <c r="C9" s="34" t="s">
        <v>283</v>
      </c>
      <c r="D9" s="205">
        <v>11424.0</v>
      </c>
      <c r="E9" s="34" t="s">
        <v>25</v>
      </c>
      <c r="G9" s="1" t="s">
        <v>66</v>
      </c>
      <c r="H9" s="109">
        <f>I5</f>
        <v>10519.57328</v>
      </c>
      <c r="I9" s="15"/>
      <c r="L9" s="181">
        <v>0.25</v>
      </c>
      <c r="M9" s="182">
        <v>22.0</v>
      </c>
    </row>
    <row r="10">
      <c r="A10" s="34" t="s">
        <v>295</v>
      </c>
      <c r="B10" s="34" t="s">
        <v>3</v>
      </c>
      <c r="C10" s="200" t="s">
        <v>7</v>
      </c>
      <c r="D10" s="207">
        <f>1041*6.1</f>
        <v>6350.1</v>
      </c>
      <c r="E10" s="34" t="s">
        <v>248</v>
      </c>
      <c r="G10" s="1" t="s">
        <v>70</v>
      </c>
      <c r="H10" s="109">
        <v>0.0</v>
      </c>
      <c r="I10" s="15"/>
      <c r="L10" s="181">
        <v>0.1</v>
      </c>
      <c r="M10" s="182">
        <v>18.0</v>
      </c>
    </row>
    <row r="11">
      <c r="A11" s="153" t="s">
        <v>178</v>
      </c>
      <c r="B11" s="34" t="s">
        <v>3</v>
      </c>
      <c r="C11" s="34" t="s">
        <v>283</v>
      </c>
      <c r="D11" s="207">
        <v>9673.0</v>
      </c>
      <c r="E11" s="34" t="s">
        <v>25</v>
      </c>
    </row>
    <row r="12">
      <c r="A12" s="153" t="s">
        <v>179</v>
      </c>
      <c r="B12" s="34" t="s">
        <v>3</v>
      </c>
      <c r="C12" s="34" t="s">
        <v>283</v>
      </c>
      <c r="D12" s="217">
        <f>1519*6</f>
        <v>9114</v>
      </c>
      <c r="E12" s="34" t="s">
        <v>248</v>
      </c>
      <c r="G12" s="6" t="s">
        <v>63</v>
      </c>
      <c r="H12" s="6" t="s">
        <v>193</v>
      </c>
    </row>
    <row r="13">
      <c r="A13" s="153" t="s">
        <v>284</v>
      </c>
      <c r="B13" s="34" t="s">
        <v>3</v>
      </c>
      <c r="C13" s="34" t="s">
        <v>283</v>
      </c>
      <c r="D13" s="205">
        <v>7200.0</v>
      </c>
      <c r="E13" s="34" t="s">
        <v>25</v>
      </c>
      <c r="G13" s="34" t="s">
        <v>24</v>
      </c>
      <c r="H13" s="189"/>
    </row>
    <row r="14">
      <c r="A14" s="34" t="s">
        <v>170</v>
      </c>
      <c r="B14" s="34" t="s">
        <v>3</v>
      </c>
      <c r="C14" s="200" t="s">
        <v>7</v>
      </c>
      <c r="D14" s="207">
        <f>868*6.1</f>
        <v>5294.8</v>
      </c>
      <c r="E14" s="34" t="s">
        <v>248</v>
      </c>
      <c r="G14" s="34" t="s">
        <v>7</v>
      </c>
      <c r="H14" s="189">
        <f>SUM(D10,D11,D14,D17,D18,D20,D21,D22,D24)/5.5</f>
        <v>7774.974545</v>
      </c>
    </row>
    <row r="15">
      <c r="A15" s="34" t="s">
        <v>286</v>
      </c>
      <c r="B15" s="34" t="s">
        <v>3</v>
      </c>
      <c r="C15" s="34" t="s">
        <v>283</v>
      </c>
      <c r="D15" s="205">
        <v>4986.36</v>
      </c>
      <c r="E15" s="34" t="s">
        <v>248</v>
      </c>
      <c r="G15" s="34" t="s">
        <v>82</v>
      </c>
      <c r="H15" s="189">
        <f>D16/5.5</f>
        <v>738.8227273</v>
      </c>
    </row>
    <row r="16">
      <c r="A16" s="34" t="s">
        <v>211</v>
      </c>
      <c r="B16" s="34" t="s">
        <v>3</v>
      </c>
      <c r="C16" s="34" t="s">
        <v>82</v>
      </c>
      <c r="D16" s="207">
        <f>706.7*5.75</f>
        <v>4063.525</v>
      </c>
      <c r="E16" s="34" t="s">
        <v>25</v>
      </c>
      <c r="H16" s="20"/>
      <c r="I16" s="15"/>
    </row>
    <row r="17">
      <c r="A17" s="34" t="s">
        <v>300</v>
      </c>
      <c r="B17" s="34" t="s">
        <v>3</v>
      </c>
      <c r="C17" s="200" t="s">
        <v>7</v>
      </c>
      <c r="D17" s="219">
        <f t="shared" ref="D17:D19" si="2">651*6.1</f>
        <v>3971.1</v>
      </c>
      <c r="E17" s="34" t="s">
        <v>248</v>
      </c>
    </row>
    <row r="18">
      <c r="A18" s="34" t="s">
        <v>301</v>
      </c>
      <c r="B18" s="34" t="s">
        <v>3</v>
      </c>
      <c r="C18" s="200" t="s">
        <v>7</v>
      </c>
      <c r="D18" s="219">
        <f t="shared" si="2"/>
        <v>3971.1</v>
      </c>
      <c r="E18" s="34" t="s">
        <v>248</v>
      </c>
    </row>
    <row r="19">
      <c r="A19" s="153" t="s">
        <v>302</v>
      </c>
      <c r="B19" s="153" t="s">
        <v>3</v>
      </c>
      <c r="C19" s="153" t="s">
        <v>7</v>
      </c>
      <c r="D19" s="216">
        <f t="shared" si="2"/>
        <v>3971.1</v>
      </c>
      <c r="E19" s="153" t="s">
        <v>248</v>
      </c>
    </row>
    <row r="20">
      <c r="A20" s="153" t="s">
        <v>299</v>
      </c>
      <c r="B20" s="153" t="s">
        <v>3</v>
      </c>
      <c r="C20" s="153" t="s">
        <v>283</v>
      </c>
      <c r="D20" s="219">
        <f>651*6</f>
        <v>3906</v>
      </c>
      <c r="E20" s="34" t="s">
        <v>248</v>
      </c>
    </row>
    <row r="21">
      <c r="A21" s="34" t="s">
        <v>304</v>
      </c>
      <c r="B21" s="34" t="s">
        <v>3</v>
      </c>
      <c r="C21" s="34" t="s">
        <v>7</v>
      </c>
      <c r="D21" s="220">
        <f>597*6.1</f>
        <v>3641.7</v>
      </c>
      <c r="E21" s="34" t="s">
        <v>248</v>
      </c>
    </row>
    <row r="22">
      <c r="A22" s="34" t="s">
        <v>131</v>
      </c>
      <c r="B22" s="34" t="s">
        <v>3</v>
      </c>
      <c r="C22" s="34" t="s">
        <v>283</v>
      </c>
      <c r="D22" s="207">
        <v>1983.46</v>
      </c>
      <c r="E22" s="34" t="s">
        <v>25</v>
      </c>
    </row>
    <row r="23">
      <c r="A23" s="34" t="s">
        <v>152</v>
      </c>
      <c r="B23" s="34" t="s">
        <v>3</v>
      </c>
      <c r="C23" s="34" t="s">
        <v>7</v>
      </c>
      <c r="D23" s="221">
        <f>2000*6.1</f>
        <v>12200</v>
      </c>
      <c r="E23" s="34" t="s">
        <v>248</v>
      </c>
    </row>
    <row r="24">
      <c r="A24" s="153" t="s">
        <v>307</v>
      </c>
      <c r="B24" s="153" t="s">
        <v>3</v>
      </c>
      <c r="C24" s="153" t="s">
        <v>283</v>
      </c>
      <c r="D24" s="219">
        <f>651*6.1</f>
        <v>3971.1</v>
      </c>
      <c r="E24" s="153" t="s">
        <v>248</v>
      </c>
    </row>
    <row r="32">
      <c r="A32" s="34" t="s">
        <v>308</v>
      </c>
      <c r="B32" s="34" t="s">
        <v>3</v>
      </c>
      <c r="C32" s="200" t="s">
        <v>7</v>
      </c>
      <c r="D32" s="222"/>
      <c r="E32" s="34" t="s">
        <v>248</v>
      </c>
    </row>
    <row r="33">
      <c r="A33" s="34" t="s">
        <v>287</v>
      </c>
      <c r="B33" s="34" t="s">
        <v>3</v>
      </c>
      <c r="C33" s="200" t="s">
        <v>7</v>
      </c>
      <c r="D33" s="222"/>
      <c r="E33" s="34" t="s">
        <v>248</v>
      </c>
    </row>
    <row r="34">
      <c r="A34" s="34" t="s">
        <v>282</v>
      </c>
      <c r="B34" s="34" t="s">
        <v>3</v>
      </c>
      <c r="C34" s="200" t="s">
        <v>7</v>
      </c>
      <c r="D34" s="222"/>
      <c r="E34" s="34" t="s">
        <v>248</v>
      </c>
    </row>
    <row r="35">
      <c r="A35" s="34" t="s">
        <v>288</v>
      </c>
      <c r="B35" s="34" t="s">
        <v>3</v>
      </c>
      <c r="C35" s="200" t="s">
        <v>7</v>
      </c>
      <c r="D35" s="222"/>
      <c r="E35" s="34" t="s">
        <v>248</v>
      </c>
    </row>
    <row r="36">
      <c r="A36" s="34" t="s">
        <v>141</v>
      </c>
      <c r="B36" s="34" t="s">
        <v>3</v>
      </c>
      <c r="C36" s="200" t="s">
        <v>7</v>
      </c>
      <c r="D36" s="222"/>
      <c r="E36" s="34" t="s">
        <v>248</v>
      </c>
    </row>
  </sheetData>
  <mergeCells count="1">
    <mergeCell ref="A1:E1"/>
  </mergeCell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13"/>
    <col customWidth="1" min="2" max="2" width="9.13"/>
    <col customWidth="1" min="3" max="3" width="19.13"/>
    <col customWidth="1" min="4" max="4" width="11.88"/>
    <col customWidth="1" min="5" max="5" width="13.5"/>
    <col customWidth="1" min="7" max="7" width="13.63"/>
    <col customWidth="1" min="8" max="8" width="13.38"/>
    <col customWidth="1" min="9" max="9" width="10.25"/>
    <col customWidth="1" min="10" max="10" width="6.63"/>
  </cols>
  <sheetData>
    <row r="1">
      <c r="A1" s="198" t="s">
        <v>276</v>
      </c>
      <c r="B1" s="4"/>
      <c r="C1" s="4"/>
      <c r="D1" s="4"/>
      <c r="E1" s="5"/>
    </row>
    <row r="2">
      <c r="A2" s="199" t="s">
        <v>11</v>
      </c>
      <c r="B2" s="199" t="s">
        <v>12</v>
      </c>
      <c r="C2" s="199" t="s">
        <v>13</v>
      </c>
      <c r="D2" s="199" t="s">
        <v>14</v>
      </c>
      <c r="E2" s="199" t="s">
        <v>15</v>
      </c>
    </row>
    <row r="3" hidden="1">
      <c r="A3" s="34" t="s">
        <v>112</v>
      </c>
      <c r="B3" s="34" t="s">
        <v>4</v>
      </c>
      <c r="C3" s="34" t="s">
        <v>24</v>
      </c>
      <c r="D3" s="205">
        <v>600000.0</v>
      </c>
      <c r="E3" s="34" t="s">
        <v>106</v>
      </c>
      <c r="H3" s="2" t="s">
        <v>1</v>
      </c>
      <c r="I3" s="2" t="s">
        <v>193</v>
      </c>
    </row>
    <row r="4">
      <c r="A4" s="34" t="s">
        <v>160</v>
      </c>
      <c r="B4" s="34" t="s">
        <v>3</v>
      </c>
      <c r="C4" s="34" t="s">
        <v>7</v>
      </c>
      <c r="D4" s="207">
        <v>573300.0</v>
      </c>
      <c r="E4" s="34" t="s">
        <v>25</v>
      </c>
      <c r="G4" s="49" t="s">
        <v>51</v>
      </c>
      <c r="H4" s="208">
        <f>SUM(D3:D30)</f>
        <v>1808106.24</v>
      </c>
      <c r="I4" s="83">
        <f t="shared" ref="I4:I7" si="1">H4/5.8</f>
        <v>311742.4552</v>
      </c>
      <c r="J4" s="53">
        <v>1.0</v>
      </c>
    </row>
    <row r="5" hidden="1">
      <c r="A5" s="34" t="s">
        <v>112</v>
      </c>
      <c r="B5" s="34" t="s">
        <v>4</v>
      </c>
      <c r="C5" s="34" t="s">
        <v>24</v>
      </c>
      <c r="D5" s="207">
        <v>312000.0</v>
      </c>
      <c r="E5" s="34" t="s">
        <v>106</v>
      </c>
      <c r="G5" s="60" t="s">
        <v>58</v>
      </c>
      <c r="H5" s="20">
        <f>SUM(D4,D5,D6,D8:D9,D17,D21)</f>
        <v>1066563.42</v>
      </c>
      <c r="I5" s="15">
        <f t="shared" si="1"/>
        <v>183890.2448</v>
      </c>
      <c r="J5" s="209">
        <f>H5/H4</f>
        <v>0.5898787341</v>
      </c>
    </row>
    <row r="6">
      <c r="A6" s="34" t="s">
        <v>159</v>
      </c>
      <c r="B6" s="34" t="s">
        <v>3</v>
      </c>
      <c r="C6" s="34" t="s">
        <v>283</v>
      </c>
      <c r="D6" s="207">
        <v>101265.12</v>
      </c>
      <c r="E6" s="34" t="s">
        <v>25</v>
      </c>
      <c r="G6" s="60" t="s">
        <v>61</v>
      </c>
      <c r="H6" s="20">
        <f>SUM(D13,D15,D16,D18)</f>
        <v>26856.36</v>
      </c>
      <c r="I6" s="15">
        <f t="shared" si="1"/>
        <v>4630.406897</v>
      </c>
      <c r="J6" s="209">
        <f>H6/H4</f>
        <v>0.01485330862</v>
      </c>
    </row>
    <row r="7" hidden="1">
      <c r="A7" s="34" t="s">
        <v>203</v>
      </c>
      <c r="B7" s="34" t="s">
        <v>4</v>
      </c>
      <c r="C7" s="34" t="s">
        <v>251</v>
      </c>
      <c r="D7" s="205">
        <v>52500.0</v>
      </c>
      <c r="E7" s="34" t="s">
        <v>26</v>
      </c>
      <c r="G7" s="60" t="s">
        <v>64</v>
      </c>
      <c r="H7" s="20">
        <f>SUM(D3,D7,D10:D12,D14,D19:D20)</f>
        <v>714686.46</v>
      </c>
      <c r="I7" s="15">
        <f t="shared" si="1"/>
        <v>123221.8034</v>
      </c>
      <c r="J7" s="209">
        <f>H7/H4</f>
        <v>0.3952679573</v>
      </c>
    </row>
    <row r="8">
      <c r="A8" s="34" t="s">
        <v>175</v>
      </c>
      <c r="B8" s="34" t="s">
        <v>3</v>
      </c>
      <c r="C8" s="34" t="s">
        <v>290</v>
      </c>
      <c r="D8" s="207">
        <v>44648.25</v>
      </c>
      <c r="E8" s="34" t="s">
        <v>25</v>
      </c>
    </row>
    <row r="9" hidden="1">
      <c r="A9" s="34" t="s">
        <v>161</v>
      </c>
      <c r="B9" s="34" t="s">
        <v>3</v>
      </c>
      <c r="C9" s="34" t="s">
        <v>292</v>
      </c>
      <c r="D9" s="207">
        <v>28938.12</v>
      </c>
      <c r="E9" s="34" t="s">
        <v>25</v>
      </c>
      <c r="G9" s="1" t="s">
        <v>66</v>
      </c>
      <c r="H9" s="215">
        <f>SUM(D4,D6,D8,D19,D21)</f>
        <v>724192.89</v>
      </c>
      <c r="I9" s="15">
        <f t="shared" ref="I9:I10" si="2">H9/5.8</f>
        <v>124860.8431</v>
      </c>
    </row>
    <row r="10" hidden="1">
      <c r="A10" s="153" t="s">
        <v>294</v>
      </c>
      <c r="B10" s="34" t="s">
        <v>4</v>
      </c>
      <c r="C10" s="34" t="s">
        <v>74</v>
      </c>
      <c r="D10" s="205">
        <v>28000.0</v>
      </c>
      <c r="E10" s="34" t="s">
        <v>116</v>
      </c>
      <c r="G10" s="1" t="s">
        <v>70</v>
      </c>
      <c r="H10" s="215">
        <v>317338.41</v>
      </c>
      <c r="I10" s="15">
        <f t="shared" si="2"/>
        <v>54713.51897</v>
      </c>
    </row>
    <row r="11">
      <c r="A11" s="153" t="s">
        <v>128</v>
      </c>
      <c r="B11" s="34" t="s">
        <v>3</v>
      </c>
      <c r="C11" s="34" t="s">
        <v>283</v>
      </c>
      <c r="D11" s="205">
        <v>11424.0</v>
      </c>
      <c r="E11" s="34" t="s">
        <v>25</v>
      </c>
    </row>
    <row r="12">
      <c r="A12" s="153" t="s">
        <v>178</v>
      </c>
      <c r="B12" s="34" t="s">
        <v>3</v>
      </c>
      <c r="C12" s="34" t="s">
        <v>283</v>
      </c>
      <c r="D12" s="205">
        <v>9673.0</v>
      </c>
      <c r="E12" s="34" t="s">
        <v>25</v>
      </c>
      <c r="G12" s="6" t="s">
        <v>52</v>
      </c>
      <c r="H12" s="6" t="s">
        <v>193</v>
      </c>
    </row>
    <row r="13">
      <c r="A13" s="153" t="s">
        <v>179</v>
      </c>
      <c r="B13" s="34" t="s">
        <v>3</v>
      </c>
      <c r="C13" s="34" t="s">
        <v>283</v>
      </c>
      <c r="D13" s="216">
        <f>1519*6</f>
        <v>9114</v>
      </c>
      <c r="E13" s="34" t="s">
        <v>248</v>
      </c>
      <c r="G13" s="34" t="s">
        <v>24</v>
      </c>
      <c r="H13" s="189">
        <v>54713.518965517236</v>
      </c>
    </row>
    <row r="14">
      <c r="A14" s="153" t="s">
        <v>284</v>
      </c>
      <c r="B14" s="34" t="s">
        <v>3</v>
      </c>
      <c r="C14" s="34" t="s">
        <v>283</v>
      </c>
      <c r="D14" s="205">
        <v>7200.0</v>
      </c>
      <c r="E14" s="34" t="s">
        <v>25</v>
      </c>
      <c r="G14" s="34" t="s">
        <v>7</v>
      </c>
      <c r="H14" s="189">
        <v>124675.75344827586</v>
      </c>
    </row>
    <row r="15">
      <c r="A15" s="153" t="s">
        <v>296</v>
      </c>
      <c r="B15" s="34" t="s">
        <v>3</v>
      </c>
      <c r="C15" s="34" t="s">
        <v>283</v>
      </c>
      <c r="D15" s="216">
        <f>1085*6</f>
        <v>6510</v>
      </c>
      <c r="E15" s="34" t="s">
        <v>248</v>
      </c>
      <c r="H15" s="20"/>
    </row>
    <row r="16">
      <c r="A16" s="153" t="s">
        <v>297</v>
      </c>
      <c r="B16" s="153" t="s">
        <v>3</v>
      </c>
      <c r="C16" s="153" t="s">
        <v>283</v>
      </c>
      <c r="D16" s="216">
        <f>1041*6</f>
        <v>6246</v>
      </c>
      <c r="E16" s="34" t="s">
        <v>248</v>
      </c>
      <c r="H16" s="20"/>
      <c r="I16" s="15"/>
    </row>
    <row r="17" hidden="1">
      <c r="A17" s="145" t="s">
        <v>18</v>
      </c>
      <c r="B17" s="145" t="s">
        <v>4</v>
      </c>
      <c r="C17" s="145" t="s">
        <v>24</v>
      </c>
      <c r="D17" s="207">
        <v>5338.41</v>
      </c>
      <c r="E17" s="34" t="s">
        <v>25</v>
      </c>
    </row>
    <row r="18">
      <c r="A18" s="153" t="s">
        <v>286</v>
      </c>
      <c r="B18" s="153" t="s">
        <v>3</v>
      </c>
      <c r="C18" s="153" t="s">
        <v>283</v>
      </c>
      <c r="D18" s="212">
        <v>4986.36</v>
      </c>
      <c r="E18" s="34" t="s">
        <v>248</v>
      </c>
    </row>
    <row r="19">
      <c r="A19" s="145" t="s">
        <v>299</v>
      </c>
      <c r="B19" s="145" t="s">
        <v>3</v>
      </c>
      <c r="C19" s="145" t="s">
        <v>283</v>
      </c>
      <c r="D19" s="217">
        <f>651*6</f>
        <v>3906</v>
      </c>
      <c r="E19" s="34" t="s">
        <v>248</v>
      </c>
    </row>
    <row r="20">
      <c r="A20" s="153" t="s">
        <v>131</v>
      </c>
      <c r="B20" s="153" t="s">
        <v>3</v>
      </c>
      <c r="C20" s="153" t="s">
        <v>283</v>
      </c>
      <c r="D20" s="205">
        <v>1983.46</v>
      </c>
      <c r="E20" s="34" t="s">
        <v>25</v>
      </c>
    </row>
    <row r="21">
      <c r="A21" s="145" t="s">
        <v>190</v>
      </c>
      <c r="B21" s="145" t="s">
        <v>3</v>
      </c>
      <c r="C21" s="145" t="s">
        <v>290</v>
      </c>
      <c r="D21" s="207">
        <v>1073.52</v>
      </c>
      <c r="E21" s="34" t="s">
        <v>248</v>
      </c>
    </row>
  </sheetData>
  <autoFilter ref="$A$2:$E$21">
    <filterColumn colId="2">
      <filters>
        <filter val="DROPBOX | BOXWARE"/>
        <filter val="DROPBOX | INGRAM"/>
        <filter val="DROPBOX"/>
      </filters>
    </filterColumn>
  </autoFilter>
  <mergeCells count="1">
    <mergeCell ref="A1:E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3.25"/>
    <col customWidth="1" min="2" max="3" width="12.38"/>
    <col customWidth="1" min="4" max="4" width="11.0"/>
    <col customWidth="1" min="5" max="5" width="13.5"/>
    <col customWidth="1" min="7" max="7" width="13.63"/>
    <col customWidth="1" min="8" max="8" width="11.88"/>
    <col customWidth="1" min="9" max="9" width="9.38"/>
  </cols>
  <sheetData>
    <row r="1">
      <c r="A1" s="198" t="s">
        <v>298</v>
      </c>
      <c r="B1" s="4"/>
      <c r="C1" s="4"/>
      <c r="D1" s="4"/>
      <c r="E1" s="5"/>
    </row>
    <row r="2">
      <c r="A2" s="199" t="s">
        <v>11</v>
      </c>
      <c r="B2" s="199" t="s">
        <v>12</v>
      </c>
      <c r="C2" s="199" t="s">
        <v>13</v>
      </c>
      <c r="D2" s="199" t="s">
        <v>14</v>
      </c>
      <c r="E2" s="199" t="s">
        <v>15</v>
      </c>
      <c r="H2" s="2" t="s">
        <v>1</v>
      </c>
      <c r="I2" s="2" t="s">
        <v>193</v>
      </c>
    </row>
    <row r="3">
      <c r="A3" s="153" t="s">
        <v>212</v>
      </c>
      <c r="B3" s="153" t="s">
        <v>3</v>
      </c>
      <c r="C3" s="153" t="s">
        <v>7</v>
      </c>
      <c r="D3" s="218">
        <v>15585.04</v>
      </c>
      <c r="E3" s="153" t="s">
        <v>25</v>
      </c>
      <c r="G3" s="60" t="s">
        <v>58</v>
      </c>
      <c r="H3" s="20">
        <f>SUM(D3:D16)</f>
        <v>445612.79</v>
      </c>
      <c r="I3" s="15">
        <f>H3/5.8</f>
        <v>76829.79138</v>
      </c>
    </row>
    <row r="4">
      <c r="A4" s="153" t="s">
        <v>187</v>
      </c>
      <c r="B4" s="153" t="s">
        <v>3</v>
      </c>
      <c r="C4" s="153" t="s">
        <v>7</v>
      </c>
      <c r="D4" s="218">
        <v>53400.0</v>
      </c>
      <c r="E4" s="153" t="s">
        <v>25</v>
      </c>
    </row>
    <row r="5">
      <c r="A5" s="153" t="s">
        <v>160</v>
      </c>
      <c r="B5" s="153" t="s">
        <v>3</v>
      </c>
      <c r="C5" s="153" t="s">
        <v>7</v>
      </c>
      <c r="D5" s="218">
        <v>5747.76</v>
      </c>
      <c r="E5" s="153" t="s">
        <v>25</v>
      </c>
      <c r="G5" s="1" t="s">
        <v>66</v>
      </c>
      <c r="H5" s="20">
        <f>SUM(D3:D9,D12,D14:D16)</f>
        <v>188612.79</v>
      </c>
      <c r="I5" s="15">
        <f t="shared" ref="I5:I6" si="1">H5/5.8</f>
        <v>32519.44655</v>
      </c>
    </row>
    <row r="6">
      <c r="A6" s="153" t="s">
        <v>211</v>
      </c>
      <c r="B6" s="153" t="s">
        <v>3</v>
      </c>
      <c r="C6" s="153" t="s">
        <v>82</v>
      </c>
      <c r="D6" s="218">
        <v>14230.34</v>
      </c>
      <c r="E6" s="153" t="s">
        <v>25</v>
      </c>
      <c r="G6" s="1" t="s">
        <v>70</v>
      </c>
      <c r="H6" s="20">
        <f>H3-H5</f>
        <v>257000</v>
      </c>
      <c r="I6" s="15">
        <f t="shared" si="1"/>
        <v>44310.34483</v>
      </c>
    </row>
    <row r="7">
      <c r="A7" s="153" t="s">
        <v>303</v>
      </c>
      <c r="B7" s="153" t="s">
        <v>3</v>
      </c>
      <c r="C7" s="153" t="s">
        <v>7</v>
      </c>
      <c r="D7" s="218">
        <v>6556.63</v>
      </c>
      <c r="E7" s="153" t="s">
        <v>25</v>
      </c>
    </row>
    <row r="8">
      <c r="A8" s="153" t="s">
        <v>80</v>
      </c>
      <c r="B8" s="153" t="s">
        <v>3</v>
      </c>
      <c r="C8" s="153" t="s">
        <v>7</v>
      </c>
      <c r="D8" s="218">
        <v>14968.8</v>
      </c>
      <c r="E8" s="153" t="s">
        <v>25</v>
      </c>
      <c r="G8" s="2" t="s">
        <v>16</v>
      </c>
      <c r="H8" s="2" t="s">
        <v>193</v>
      </c>
    </row>
    <row r="9">
      <c r="A9" s="153" t="s">
        <v>214</v>
      </c>
      <c r="B9" s="153" t="s">
        <v>3</v>
      </c>
      <c r="C9" s="153" t="s">
        <v>7</v>
      </c>
      <c r="D9" s="218">
        <v>17074.75</v>
      </c>
      <c r="E9" s="153" t="s">
        <v>25</v>
      </c>
      <c r="G9" s="1" t="s">
        <v>251</v>
      </c>
      <c r="H9" s="15">
        <f>D13/5.8</f>
        <v>14655.17241</v>
      </c>
      <c r="I9" s="15"/>
    </row>
    <row r="10">
      <c r="A10" s="153" t="s">
        <v>188</v>
      </c>
      <c r="B10" s="153" t="s">
        <v>4</v>
      </c>
      <c r="C10" s="153" t="s">
        <v>24</v>
      </c>
      <c r="D10" s="218">
        <v>76000.0</v>
      </c>
      <c r="E10" s="153" t="s">
        <v>106</v>
      </c>
      <c r="G10" s="1" t="s">
        <v>82</v>
      </c>
      <c r="H10" s="15">
        <f>D5/5.8</f>
        <v>990.9931034</v>
      </c>
      <c r="I10" s="15"/>
    </row>
    <row r="11">
      <c r="A11" s="153" t="s">
        <v>305</v>
      </c>
      <c r="B11" s="153" t="s">
        <v>4</v>
      </c>
      <c r="C11" s="153" t="s">
        <v>24</v>
      </c>
      <c r="D11" s="218">
        <v>96000.0</v>
      </c>
      <c r="E11" s="153" t="s">
        <v>306</v>
      </c>
      <c r="G11" s="1" t="s">
        <v>7</v>
      </c>
      <c r="H11" s="15">
        <f>SUM(D3,D4,D5,D7,D8,D9,D12,D14,D15,D16)/5.8</f>
        <v>30065.93966</v>
      </c>
      <c r="I11" s="15"/>
    </row>
    <row r="12">
      <c r="A12" s="153" t="s">
        <v>207</v>
      </c>
      <c r="B12" s="153" t="s">
        <v>3</v>
      </c>
      <c r="C12" s="153" t="s">
        <v>7</v>
      </c>
      <c r="D12" s="218">
        <v>7187.04</v>
      </c>
      <c r="E12" s="153" t="s">
        <v>25</v>
      </c>
      <c r="G12" s="1" t="s">
        <v>24</v>
      </c>
      <c r="H12" s="15">
        <f>SUM(D10:D11)/5.8</f>
        <v>29655.17241</v>
      </c>
      <c r="I12" s="15"/>
    </row>
    <row r="13">
      <c r="A13" s="153" t="s">
        <v>309</v>
      </c>
      <c r="B13" s="153" t="s">
        <v>4</v>
      </c>
      <c r="C13" s="153" t="s">
        <v>251</v>
      </c>
      <c r="D13" s="223">
        <v>85000.0</v>
      </c>
      <c r="E13" s="153" t="s">
        <v>271</v>
      </c>
    </row>
    <row r="14">
      <c r="A14" s="153" t="s">
        <v>191</v>
      </c>
      <c r="B14" s="153" t="s">
        <v>3</v>
      </c>
      <c r="C14" s="153" t="s">
        <v>7</v>
      </c>
      <c r="D14" s="218">
        <v>5699.43</v>
      </c>
      <c r="E14" s="153" t="s">
        <v>25</v>
      </c>
    </row>
    <row r="15">
      <c r="A15" s="153" t="s">
        <v>130</v>
      </c>
      <c r="B15" s="153" t="s">
        <v>3</v>
      </c>
      <c r="C15" s="153" t="s">
        <v>7</v>
      </c>
      <c r="D15" s="223">
        <v>3582.6</v>
      </c>
      <c r="E15" s="153" t="s">
        <v>248</v>
      </c>
    </row>
    <row r="16">
      <c r="A16" s="153" t="s">
        <v>310</v>
      </c>
      <c r="B16" s="153" t="s">
        <v>3</v>
      </c>
      <c r="C16" s="153" t="s">
        <v>7</v>
      </c>
      <c r="D16" s="223">
        <v>44580.4</v>
      </c>
      <c r="E16" s="153" t="s">
        <v>248</v>
      </c>
    </row>
  </sheetData>
  <mergeCells count="1">
    <mergeCell ref="A1:E1"/>
  </mergeCells>
  <drawing r:id="rId1"/>
  <tableParts count="1">
    <tablePart r:id="rId3"/>
  </tableParts>
</worksheet>
</file>